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relogic-my.sharepoint.com/personal/jhgonzalez_cotality_com/Documents/Desktop/Capacity Tools/"/>
    </mc:Choice>
  </mc:AlternateContent>
  <xr:revisionPtr revIDLastSave="66094" documentId="8_{06C219BB-31F9-4A2D-A00E-39CFD18C3874}" xr6:coauthVersionLast="47" xr6:coauthVersionMax="47" xr10:uidLastSave="{45BE177D-A44D-45EC-BBE3-9D0283504241}"/>
  <bookViews>
    <workbookView xWindow="-67320" yWindow="-120" windowWidth="38640" windowHeight="21120" tabRatio="1000" xr2:uid="{C6290702-B026-44DB-BD63-482619D10F96}"/>
  </bookViews>
  <sheets>
    <sheet name="Summary" sheetId="16" r:id="rId1"/>
    <sheet name="Operations Mockup" sheetId="17" r:id="rId2"/>
    <sheet name="FTE Calculator" sheetId="1" r:id="rId3"/>
    <sheet name="Telus" sheetId="3" r:id="rId4"/>
    <sheet name="Workday" sheetId="4" r:id="rId5"/>
    <sheet name="Special Events" sheetId="11" r:id="rId6"/>
  </sheets>
  <definedNames>
    <definedName name="_xlnm._FilterDatabase" localSheetId="2" hidden="1">'FTE Calculator'!$A$1:$AQ$310</definedName>
    <definedName name="_xlnm._FilterDatabase" localSheetId="5" hidden="1">'Special Events'!$A$1:$M$81</definedName>
    <definedName name="_xlnm._FilterDatabase" localSheetId="4" hidden="1">Workday!$A$1:$H$183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6" l="1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2" i="16"/>
  <c r="AD21" i="16"/>
  <c r="AD20" i="16"/>
  <c r="AD19" i="16"/>
  <c r="AD13" i="16"/>
  <c r="AD12" i="16"/>
  <c r="AD3" i="16"/>
  <c r="AD11" i="16" s="1"/>
  <c r="AD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2" i="16"/>
  <c r="AC21" i="16"/>
  <c r="AC20" i="16"/>
  <c r="AC19" i="16"/>
  <c r="AC13" i="16"/>
  <c r="AC12" i="16"/>
  <c r="AC11" i="16"/>
  <c r="AC3" i="16"/>
  <c r="AC2" i="16"/>
  <c r="AB5" i="16"/>
  <c r="AB4" i="16"/>
  <c r="AA51" i="16"/>
  <c r="AA50" i="16"/>
  <c r="AA49" i="16"/>
  <c r="AA48" i="16"/>
  <c r="AA47" i="16"/>
  <c r="AA46" i="16"/>
  <c r="AA45" i="16"/>
  <c r="AA44" i="16"/>
  <c r="AA43" i="16"/>
  <c r="AA42" i="16"/>
  <c r="AA41" i="16"/>
  <c r="AA40" i="16"/>
  <c r="AA36" i="16"/>
  <c r="AA35" i="16"/>
  <c r="AA34" i="16"/>
  <c r="AA33" i="16"/>
  <c r="AA32" i="16"/>
  <c r="AA31" i="16"/>
  <c r="AA30" i="16"/>
  <c r="AA29" i="16"/>
  <c r="AA28" i="16"/>
  <c r="AA27" i="16"/>
  <c r="AA26" i="16"/>
  <c r="AA25" i="16"/>
  <c r="AA22" i="16"/>
  <c r="AA21" i="16"/>
  <c r="AA20" i="16"/>
  <c r="AA19" i="16"/>
  <c r="AA13" i="16"/>
  <c r="AA12" i="16"/>
  <c r="AA3" i="16"/>
  <c r="AA2" i="16"/>
  <c r="AA11" i="16" s="1"/>
  <c r="Z51" i="16"/>
  <c r="Z50" i="16"/>
  <c r="Z49" i="16"/>
  <c r="Z48" i="16"/>
  <c r="Z47" i="16"/>
  <c r="Z46" i="16"/>
  <c r="Z45" i="16"/>
  <c r="Z44" i="16"/>
  <c r="Z43" i="16"/>
  <c r="Z42" i="16"/>
  <c r="Z41" i="16"/>
  <c r="Z40" i="16"/>
  <c r="Z36" i="16"/>
  <c r="Z35" i="16"/>
  <c r="Z34" i="16"/>
  <c r="Z33" i="16"/>
  <c r="Z32" i="16"/>
  <c r="Z31" i="16"/>
  <c r="Z30" i="16"/>
  <c r="Z29" i="16"/>
  <c r="Z28" i="16"/>
  <c r="Z27" i="16"/>
  <c r="Z26" i="16"/>
  <c r="Z25" i="16"/>
  <c r="Z22" i="16"/>
  <c r="Z21" i="16"/>
  <c r="Z20" i="16"/>
  <c r="Z19" i="16"/>
  <c r="Z13" i="16"/>
  <c r="Z12" i="16"/>
  <c r="Z3" i="16"/>
  <c r="Z2" i="16"/>
  <c r="Z11" i="16" s="1"/>
  <c r="Y51" i="16"/>
  <c r="Y50" i="16"/>
  <c r="Y49" i="16"/>
  <c r="Y48" i="16"/>
  <c r="Y47" i="16"/>
  <c r="Y46" i="16"/>
  <c r="Y45" i="16"/>
  <c r="Y44" i="16"/>
  <c r="Y43" i="16"/>
  <c r="Y42" i="16"/>
  <c r="Y41" i="16"/>
  <c r="Y40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2" i="16"/>
  <c r="Y21" i="16"/>
  <c r="Y20" i="16"/>
  <c r="Y19" i="16"/>
  <c r="Y13" i="16"/>
  <c r="Y12" i="16"/>
  <c r="Y3" i="16"/>
  <c r="Y2" i="16"/>
  <c r="Y11" i="16" s="1"/>
  <c r="X51" i="16"/>
  <c r="X50" i="16"/>
  <c r="X49" i="16"/>
  <c r="X48" i="16"/>
  <c r="X47" i="16"/>
  <c r="X46" i="16"/>
  <c r="X45" i="16"/>
  <c r="X44" i="16"/>
  <c r="X43" i="16"/>
  <c r="X42" i="16"/>
  <c r="X41" i="16"/>
  <c r="X40" i="16"/>
  <c r="X36" i="16"/>
  <c r="X35" i="16"/>
  <c r="X34" i="16"/>
  <c r="X33" i="16"/>
  <c r="X32" i="16"/>
  <c r="X31" i="16"/>
  <c r="X30" i="16"/>
  <c r="X29" i="16"/>
  <c r="X28" i="16"/>
  <c r="X27" i="16"/>
  <c r="X26" i="16"/>
  <c r="X25" i="16"/>
  <c r="X22" i="16"/>
  <c r="X21" i="16"/>
  <c r="X20" i="16"/>
  <c r="X19" i="16"/>
  <c r="X13" i="16"/>
  <c r="X12" i="16"/>
  <c r="X3" i="16"/>
  <c r="X11" i="16" s="1"/>
  <c r="X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2" i="16"/>
  <c r="W21" i="16"/>
  <c r="W20" i="16"/>
  <c r="W19" i="16"/>
  <c r="W13" i="16"/>
  <c r="W12" i="16"/>
  <c r="W11" i="16"/>
  <c r="W3" i="16"/>
  <c r="W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2" i="16"/>
  <c r="V21" i="16"/>
  <c r="V20" i="16"/>
  <c r="V19" i="16"/>
  <c r="V13" i="16"/>
  <c r="V12" i="16"/>
  <c r="V3" i="16"/>
  <c r="V2" i="16"/>
  <c r="V11" i="16" s="1"/>
  <c r="U51" i="16"/>
  <c r="U50" i="16"/>
  <c r="U49" i="16"/>
  <c r="U48" i="16"/>
  <c r="U47" i="16"/>
  <c r="U46" i="16"/>
  <c r="U45" i="16"/>
  <c r="U44" i="16"/>
  <c r="U43" i="16"/>
  <c r="U42" i="16"/>
  <c r="U41" i="16"/>
  <c r="U40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37" i="16" s="1"/>
  <c r="U22" i="16"/>
  <c r="U21" i="16"/>
  <c r="U20" i="16"/>
  <c r="U19" i="16"/>
  <c r="U13" i="16"/>
  <c r="U12" i="16"/>
  <c r="U3" i="16"/>
  <c r="U2" i="16"/>
  <c r="U11" i="16" s="1"/>
  <c r="T51" i="16"/>
  <c r="T50" i="16"/>
  <c r="T49" i="16"/>
  <c r="T48" i="16"/>
  <c r="T47" i="16"/>
  <c r="T46" i="16"/>
  <c r="T45" i="16"/>
  <c r="T44" i="16"/>
  <c r="T43" i="16"/>
  <c r="T42" i="16"/>
  <c r="T41" i="16"/>
  <c r="T40" i="16"/>
  <c r="T36" i="16"/>
  <c r="T35" i="16"/>
  <c r="T34" i="16"/>
  <c r="T33" i="16"/>
  <c r="T32" i="16"/>
  <c r="T31" i="16"/>
  <c r="T30" i="16"/>
  <c r="T29" i="16"/>
  <c r="T28" i="16"/>
  <c r="T27" i="16"/>
  <c r="T26" i="16"/>
  <c r="T25" i="16"/>
  <c r="T22" i="16"/>
  <c r="T21" i="16"/>
  <c r="T20" i="16"/>
  <c r="T19" i="16"/>
  <c r="T13" i="16"/>
  <c r="T12" i="16"/>
  <c r="T11" i="16"/>
  <c r="T3" i="16"/>
  <c r="T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2" i="16"/>
  <c r="S21" i="16"/>
  <c r="S20" i="16"/>
  <c r="S19" i="16"/>
  <c r="S13" i="16"/>
  <c r="S12" i="16"/>
  <c r="S3" i="16"/>
  <c r="S2" i="16"/>
  <c r="R51" i="16"/>
  <c r="R50" i="16"/>
  <c r="R49" i="16"/>
  <c r="R48" i="16"/>
  <c r="R47" i="16"/>
  <c r="R46" i="16"/>
  <c r="R45" i="16"/>
  <c r="R44" i="16"/>
  <c r="R43" i="16"/>
  <c r="R42" i="16"/>
  <c r="R41" i="16"/>
  <c r="R40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2" i="16"/>
  <c r="R21" i="16"/>
  <c r="R20" i="16"/>
  <c r="R19" i="16"/>
  <c r="R13" i="16"/>
  <c r="R12" i="16"/>
  <c r="R7" i="16"/>
  <c r="R3" i="16"/>
  <c r="R2" i="16"/>
  <c r="Q51" i="16"/>
  <c r="Q50" i="16"/>
  <c r="Q49" i="16"/>
  <c r="Q48" i="16"/>
  <c r="Q47" i="16"/>
  <c r="Q46" i="16"/>
  <c r="Q45" i="16"/>
  <c r="Q44" i="16"/>
  <c r="Q43" i="16"/>
  <c r="Q42" i="16"/>
  <c r="Q41" i="16"/>
  <c r="Q40" i="16"/>
  <c r="Q36" i="16"/>
  <c r="Q35" i="16"/>
  <c r="Q34" i="16"/>
  <c r="Q33" i="16"/>
  <c r="Q32" i="16"/>
  <c r="Q31" i="16"/>
  <c r="Q30" i="16"/>
  <c r="Q29" i="16"/>
  <c r="Q28" i="16"/>
  <c r="Q27" i="16"/>
  <c r="Q26" i="16"/>
  <c r="Q25" i="16"/>
  <c r="Q22" i="16"/>
  <c r="Q21" i="16"/>
  <c r="Q20" i="16"/>
  <c r="Q19" i="16"/>
  <c r="Q13" i="16"/>
  <c r="Q12" i="16"/>
  <c r="Q7" i="16"/>
  <c r="Q3" i="16"/>
  <c r="Q2" i="16"/>
  <c r="Q11" i="16" s="1"/>
  <c r="P51" i="16"/>
  <c r="P50" i="16"/>
  <c r="P49" i="16"/>
  <c r="P48" i="16"/>
  <c r="AB48" i="16" s="1"/>
  <c r="P47" i="16"/>
  <c r="AB47" i="16" s="1"/>
  <c r="P46" i="16"/>
  <c r="P45" i="16"/>
  <c r="P44" i="16"/>
  <c r="P43" i="16"/>
  <c r="P42" i="16"/>
  <c r="P41" i="16"/>
  <c r="P40" i="16"/>
  <c r="AB40" i="16" s="1"/>
  <c r="P36" i="16"/>
  <c r="AB36" i="16" s="1"/>
  <c r="P35" i="16"/>
  <c r="P34" i="16"/>
  <c r="P33" i="16"/>
  <c r="P32" i="16"/>
  <c r="P31" i="16"/>
  <c r="P30" i="16"/>
  <c r="P29" i="16"/>
  <c r="AB29" i="16" s="1"/>
  <c r="P28" i="16"/>
  <c r="AB28" i="16" s="1"/>
  <c r="P27" i="16"/>
  <c r="P26" i="16"/>
  <c r="P25" i="16"/>
  <c r="P22" i="16"/>
  <c r="P21" i="16"/>
  <c r="P20" i="16"/>
  <c r="P19" i="16"/>
  <c r="AB19" i="16" s="1"/>
  <c r="P13" i="16"/>
  <c r="AB13" i="16" s="1"/>
  <c r="P12" i="16"/>
  <c r="P7" i="16"/>
  <c r="P3" i="16"/>
  <c r="P2" i="16"/>
  <c r="O5" i="16"/>
  <c r="O4" i="16"/>
  <c r="N51" i="16"/>
  <c r="N50" i="16"/>
  <c r="N49" i="16"/>
  <c r="N48" i="16"/>
  <c r="N47" i="16"/>
  <c r="N46" i="16"/>
  <c r="N45" i="16"/>
  <c r="N44" i="16"/>
  <c r="N43" i="16"/>
  <c r="N52" i="16" s="1"/>
  <c r="N16" i="16" s="1"/>
  <c r="N42" i="16"/>
  <c r="N41" i="16"/>
  <c r="N40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2" i="16"/>
  <c r="N21" i="16"/>
  <c r="N20" i="16"/>
  <c r="N19" i="16"/>
  <c r="N13" i="16"/>
  <c r="N12" i="16"/>
  <c r="N8" i="16"/>
  <c r="P8" i="16" s="1"/>
  <c r="N7" i="16"/>
  <c r="N9" i="16" s="1"/>
  <c r="N3" i="16"/>
  <c r="N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2" i="16"/>
  <c r="M21" i="16"/>
  <c r="M20" i="16"/>
  <c r="M19" i="16"/>
  <c r="M13" i="16"/>
  <c r="M12" i="16"/>
  <c r="M8" i="16"/>
  <c r="M7" i="16"/>
  <c r="M9" i="16" s="1"/>
  <c r="M3" i="16"/>
  <c r="M2" i="16"/>
  <c r="M11" i="16" s="1"/>
  <c r="L51" i="16"/>
  <c r="L50" i="16"/>
  <c r="L49" i="16"/>
  <c r="L48" i="16"/>
  <c r="L47" i="16"/>
  <c r="L46" i="16"/>
  <c r="L45" i="16"/>
  <c r="L44" i="16"/>
  <c r="L43" i="16"/>
  <c r="L42" i="16"/>
  <c r="L41" i="16"/>
  <c r="L40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2" i="16"/>
  <c r="L21" i="16"/>
  <c r="L20" i="16"/>
  <c r="L19" i="16"/>
  <c r="L13" i="16"/>
  <c r="L12" i="16"/>
  <c r="L8" i="16"/>
  <c r="L7" i="16"/>
  <c r="L3" i="16"/>
  <c r="L2" i="16"/>
  <c r="K51" i="16"/>
  <c r="K50" i="16"/>
  <c r="K49" i="16"/>
  <c r="K48" i="16"/>
  <c r="K47" i="16"/>
  <c r="K46" i="16"/>
  <c r="K45" i="16"/>
  <c r="K44" i="16"/>
  <c r="K43" i="16"/>
  <c r="K42" i="16"/>
  <c r="K41" i="16"/>
  <c r="K40" i="16"/>
  <c r="K52" i="16" s="1"/>
  <c r="K16" i="16" s="1"/>
  <c r="K36" i="16"/>
  <c r="K35" i="16"/>
  <c r="K34" i="16"/>
  <c r="K33" i="16"/>
  <c r="K32" i="16"/>
  <c r="K31" i="16"/>
  <c r="K30" i="16"/>
  <c r="K29" i="16"/>
  <c r="K28" i="16"/>
  <c r="K27" i="16"/>
  <c r="K26" i="16"/>
  <c r="K25" i="16"/>
  <c r="K22" i="16"/>
  <c r="K21" i="16"/>
  <c r="K20" i="16"/>
  <c r="K19" i="16"/>
  <c r="K13" i="16"/>
  <c r="K12" i="16"/>
  <c r="K8" i="16"/>
  <c r="K7" i="16"/>
  <c r="K3" i="16"/>
  <c r="K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2" i="16"/>
  <c r="J21" i="16"/>
  <c r="J20" i="16"/>
  <c r="J19" i="16"/>
  <c r="J13" i="16"/>
  <c r="J12" i="16"/>
  <c r="J8" i="16"/>
  <c r="J7" i="16"/>
  <c r="J3" i="16"/>
  <c r="J11" i="16" s="1"/>
  <c r="J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2" i="16"/>
  <c r="I21" i="16"/>
  <c r="I20" i="16"/>
  <c r="I19" i="16"/>
  <c r="I13" i="16"/>
  <c r="I12" i="16"/>
  <c r="I11" i="16"/>
  <c r="I8" i="16"/>
  <c r="I7" i="16"/>
  <c r="I3" i="16"/>
  <c r="I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2" i="16"/>
  <c r="H21" i="16"/>
  <c r="H20" i="16"/>
  <c r="H19" i="16"/>
  <c r="H13" i="16"/>
  <c r="H12" i="16"/>
  <c r="H8" i="16"/>
  <c r="H7" i="16"/>
  <c r="H9" i="16" s="1"/>
  <c r="H3" i="16"/>
  <c r="H2" i="16"/>
  <c r="H11" i="16" s="1"/>
  <c r="G51" i="16"/>
  <c r="G50" i="16"/>
  <c r="G49" i="16"/>
  <c r="G48" i="16"/>
  <c r="G47" i="16"/>
  <c r="G46" i="16"/>
  <c r="G45" i="16"/>
  <c r="G44" i="16"/>
  <c r="G43" i="16"/>
  <c r="G42" i="16"/>
  <c r="G41" i="16"/>
  <c r="G40" i="16"/>
  <c r="G36" i="16"/>
  <c r="G35" i="16"/>
  <c r="G34" i="16"/>
  <c r="G33" i="16"/>
  <c r="G32" i="16"/>
  <c r="G31" i="16"/>
  <c r="G30" i="16"/>
  <c r="G29" i="16"/>
  <c r="G28" i="16"/>
  <c r="G27" i="16"/>
  <c r="G26" i="16"/>
  <c r="G25" i="16"/>
  <c r="G22" i="16"/>
  <c r="G21" i="16"/>
  <c r="G20" i="16"/>
  <c r="G19" i="16"/>
  <c r="G13" i="16"/>
  <c r="G12" i="16"/>
  <c r="G11" i="16"/>
  <c r="G8" i="16"/>
  <c r="G7" i="16"/>
  <c r="G9" i="16" s="1"/>
  <c r="G3" i="16"/>
  <c r="G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2" i="16"/>
  <c r="F21" i="16"/>
  <c r="F20" i="16"/>
  <c r="F19" i="16"/>
  <c r="F13" i="16"/>
  <c r="F12" i="16"/>
  <c r="F8" i="16"/>
  <c r="F7" i="16"/>
  <c r="F9" i="16" s="1"/>
  <c r="F3" i="16"/>
  <c r="F2" i="16"/>
  <c r="F11" i="16" s="1"/>
  <c r="E51" i="16"/>
  <c r="E50" i="16"/>
  <c r="E49" i="16"/>
  <c r="E48" i="16"/>
  <c r="E47" i="16"/>
  <c r="E46" i="16"/>
  <c r="E45" i="16"/>
  <c r="E44" i="16"/>
  <c r="E43" i="16"/>
  <c r="E42" i="16"/>
  <c r="E41" i="16"/>
  <c r="E40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2" i="16"/>
  <c r="E21" i="16"/>
  <c r="E20" i="16"/>
  <c r="E19" i="16"/>
  <c r="E13" i="16"/>
  <c r="E12" i="16"/>
  <c r="E8" i="16"/>
  <c r="E7" i="16"/>
  <c r="E3" i="16"/>
  <c r="E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2" i="16"/>
  <c r="D21" i="16"/>
  <c r="D20" i="16"/>
  <c r="D19" i="16"/>
  <c r="D13" i="16"/>
  <c r="D12" i="16"/>
  <c r="D8" i="16"/>
  <c r="D7" i="16"/>
  <c r="D3" i="16"/>
  <c r="D2" i="16"/>
  <c r="C51" i="16"/>
  <c r="C50" i="16"/>
  <c r="C49" i="16"/>
  <c r="C48" i="16"/>
  <c r="C47" i="16"/>
  <c r="C46" i="16"/>
  <c r="C45" i="16"/>
  <c r="C52" i="16" s="1"/>
  <c r="C44" i="16"/>
  <c r="C43" i="16"/>
  <c r="C42" i="16"/>
  <c r="C41" i="16"/>
  <c r="C40" i="16"/>
  <c r="C36" i="16"/>
  <c r="O36" i="16" s="1"/>
  <c r="C35" i="16"/>
  <c r="C34" i="16"/>
  <c r="O34" i="16" s="1"/>
  <c r="C33" i="16"/>
  <c r="C32" i="16"/>
  <c r="C31" i="16"/>
  <c r="C30" i="16"/>
  <c r="C29" i="16"/>
  <c r="C28" i="16"/>
  <c r="O28" i="16" s="1"/>
  <c r="C27" i="16"/>
  <c r="C26" i="16"/>
  <c r="O26" i="16" s="1"/>
  <c r="C25" i="16"/>
  <c r="C22" i="16"/>
  <c r="C21" i="16"/>
  <c r="C20" i="16"/>
  <c r="C19" i="16"/>
  <c r="C13" i="16"/>
  <c r="O13" i="16" s="1"/>
  <c r="C12" i="16"/>
  <c r="C8" i="16"/>
  <c r="C7" i="16"/>
  <c r="C3" i="16"/>
  <c r="C2" i="16"/>
  <c r="C11" i="16" s="1"/>
  <c r="E37" i="16" l="1"/>
  <c r="E15" i="16" s="1"/>
  <c r="E52" i="16"/>
  <c r="E16" i="16" s="1"/>
  <c r="R52" i="16"/>
  <c r="S52" i="16"/>
  <c r="T37" i="16"/>
  <c r="X52" i="16"/>
  <c r="Y52" i="16"/>
  <c r="J37" i="16"/>
  <c r="J15" i="16" s="1"/>
  <c r="O19" i="16"/>
  <c r="O29" i="16"/>
  <c r="I52" i="16"/>
  <c r="I16" i="16" s="1"/>
  <c r="K11" i="16"/>
  <c r="AB20" i="16"/>
  <c r="AB30" i="16"/>
  <c r="AB41" i="16"/>
  <c r="AB49" i="16"/>
  <c r="Q52" i="16"/>
  <c r="V37" i="16"/>
  <c r="O21" i="16"/>
  <c r="O31" i="16"/>
  <c r="F52" i="16"/>
  <c r="F16" i="16" s="1"/>
  <c r="K37" i="16"/>
  <c r="K15" i="16" s="1"/>
  <c r="K17" i="16" s="1"/>
  <c r="L11" i="16"/>
  <c r="AB2" i="16"/>
  <c r="AB21" i="16"/>
  <c r="AB31" i="16"/>
  <c r="AB42" i="16"/>
  <c r="AB50" i="16"/>
  <c r="W37" i="16"/>
  <c r="AC52" i="16"/>
  <c r="AD52" i="16"/>
  <c r="D52" i="16"/>
  <c r="D16" i="16" s="1"/>
  <c r="G37" i="16"/>
  <c r="G15" i="16" s="1"/>
  <c r="H52" i="16"/>
  <c r="O48" i="16"/>
  <c r="N37" i="16"/>
  <c r="N15" i="16" s="1"/>
  <c r="O42" i="16"/>
  <c r="O50" i="16"/>
  <c r="O3" i="16"/>
  <c r="O22" i="16"/>
  <c r="O32" i="16"/>
  <c r="O43" i="16"/>
  <c r="O51" i="16"/>
  <c r="F37" i="16"/>
  <c r="F15" i="16" s="1"/>
  <c r="F17" i="16" s="1"/>
  <c r="G52" i="16"/>
  <c r="H37" i="16"/>
  <c r="H15" i="16" s="1"/>
  <c r="H17" i="16" s="1"/>
  <c r="O7" i="16"/>
  <c r="C37" i="16"/>
  <c r="O33" i="16"/>
  <c r="O44" i="16"/>
  <c r="D11" i="16"/>
  <c r="O20" i="16"/>
  <c r="O30" i="16"/>
  <c r="O41" i="16"/>
  <c r="O49" i="16"/>
  <c r="O47" i="16"/>
  <c r="AB3" i="16"/>
  <c r="AB22" i="16"/>
  <c r="AB32" i="16"/>
  <c r="AB43" i="16"/>
  <c r="AB51" i="16"/>
  <c r="X37" i="16"/>
  <c r="Y37" i="16"/>
  <c r="Z37" i="16"/>
  <c r="AA37" i="16"/>
  <c r="L37" i="16"/>
  <c r="L15" i="16" s="1"/>
  <c r="P37" i="16"/>
  <c r="AB33" i="16"/>
  <c r="AB44" i="16"/>
  <c r="U52" i="16"/>
  <c r="Z52" i="16"/>
  <c r="AA52" i="16"/>
  <c r="I15" i="16"/>
  <c r="I17" i="16" s="1"/>
  <c r="J52" i="16"/>
  <c r="O12" i="16"/>
  <c r="O27" i="16"/>
  <c r="O35" i="16"/>
  <c r="O46" i="16"/>
  <c r="D9" i="16"/>
  <c r="D37" i="16"/>
  <c r="E11" i="16"/>
  <c r="O8" i="16"/>
  <c r="I37" i="16"/>
  <c r="L52" i="16"/>
  <c r="L16" i="16" s="1"/>
  <c r="AB26" i="16"/>
  <c r="AB34" i="16"/>
  <c r="AB45" i="16"/>
  <c r="Q37" i="16"/>
  <c r="Q15" i="16" s="1"/>
  <c r="R11" i="16"/>
  <c r="T52" i="16"/>
  <c r="V52" i="16"/>
  <c r="M37" i="16"/>
  <c r="M15" i="16" s="1"/>
  <c r="M52" i="16"/>
  <c r="M16" i="16" s="1"/>
  <c r="N11" i="16"/>
  <c r="AB12" i="16"/>
  <c r="AB27" i="16"/>
  <c r="AB35" i="16"/>
  <c r="AB46" i="16"/>
  <c r="R37" i="16"/>
  <c r="R15" i="16" s="1"/>
  <c r="S11" i="16"/>
  <c r="S37" i="16"/>
  <c r="W52" i="16"/>
  <c r="AC37" i="16"/>
  <c r="AD37" i="16"/>
  <c r="J16" i="16"/>
  <c r="N17" i="16"/>
  <c r="H16" i="16"/>
  <c r="G16" i="16"/>
  <c r="C16" i="16"/>
  <c r="D15" i="16"/>
  <c r="D17" i="16" s="1"/>
  <c r="J9" i="16"/>
  <c r="O40" i="16"/>
  <c r="O2" i="16"/>
  <c r="S7" i="16"/>
  <c r="AB25" i="16"/>
  <c r="K9" i="16"/>
  <c r="O25" i="16"/>
  <c r="L9" i="16"/>
  <c r="E9" i="16"/>
  <c r="P9" i="16"/>
  <c r="Q8" i="16"/>
  <c r="C9" i="16"/>
  <c r="O45" i="16"/>
  <c r="P15" i="16"/>
  <c r="P52" i="16"/>
  <c r="I9" i="16"/>
  <c r="P16" i="16"/>
  <c r="D13" i="3"/>
  <c r="D12" i="3"/>
  <c r="D11" i="3"/>
  <c r="D10" i="3"/>
  <c r="D9" i="3"/>
  <c r="D8" i="3"/>
  <c r="D7" i="3"/>
  <c r="D6" i="3"/>
  <c r="D5" i="3"/>
  <c r="D4" i="3"/>
  <c r="D3" i="3"/>
  <c r="J17" i="16" l="1"/>
  <c r="O11" i="16"/>
  <c r="G17" i="16"/>
  <c r="E17" i="16"/>
  <c r="M17" i="16"/>
  <c r="O52" i="16"/>
  <c r="AB37" i="16"/>
  <c r="AB11" i="16"/>
  <c r="L17" i="16"/>
  <c r="O37" i="16"/>
  <c r="O9" i="16"/>
  <c r="C15" i="16"/>
  <c r="C17" i="16" s="1"/>
  <c r="AB52" i="16"/>
  <c r="O16" i="16"/>
  <c r="Q16" i="16"/>
  <c r="Q17" i="16" s="1"/>
  <c r="R8" i="16"/>
  <c r="T7" i="16"/>
  <c r="S15" i="16"/>
  <c r="Q9" i="16"/>
  <c r="P17" i="16"/>
  <c r="O17" i="16" l="1"/>
  <c r="O15" i="16"/>
  <c r="U7" i="16"/>
  <c r="T15" i="16"/>
  <c r="S8" i="16"/>
  <c r="R16" i="16"/>
  <c r="R17" i="16" s="1"/>
  <c r="R9" i="16"/>
  <c r="T8" i="16" l="1"/>
  <c r="S16" i="16"/>
  <c r="S17" i="16" s="1"/>
  <c r="S9" i="16"/>
  <c r="V7" i="16"/>
  <c r="U15" i="16"/>
  <c r="W7" i="16" l="1"/>
  <c r="V15" i="16"/>
  <c r="U8" i="16"/>
  <c r="T16" i="16"/>
  <c r="T9" i="16"/>
  <c r="T17" i="16" l="1"/>
  <c r="V8" i="16"/>
  <c r="U16" i="16"/>
  <c r="U17" i="16" s="1"/>
  <c r="U9" i="16"/>
  <c r="X7" i="16"/>
  <c r="W15" i="16"/>
  <c r="X15" i="16" l="1"/>
  <c r="Y7" i="16"/>
  <c r="W8" i="16"/>
  <c r="V16" i="16"/>
  <c r="V17" i="16" s="1"/>
  <c r="V9" i="16"/>
  <c r="W16" i="16" l="1"/>
  <c r="W17" i="16" s="1"/>
  <c r="X8" i="16"/>
  <c r="W9" i="16"/>
  <c r="Y15" i="16"/>
  <c r="Z7" i="16"/>
  <c r="Z15" i="16" l="1"/>
  <c r="AA7" i="16"/>
  <c r="X16" i="16"/>
  <c r="X17" i="16" s="1"/>
  <c r="Y8" i="16"/>
  <c r="X9" i="16"/>
  <c r="Y16" i="16" l="1"/>
  <c r="Y17" i="16" s="1"/>
  <c r="Z8" i="16"/>
  <c r="Y9" i="16"/>
  <c r="AC7" i="16"/>
  <c r="AA15" i="16"/>
  <c r="AB7" i="16"/>
  <c r="AD7" i="16" l="1"/>
  <c r="AC15" i="16"/>
  <c r="AB15" i="16"/>
  <c r="AA8" i="16"/>
  <c r="Z16" i="16"/>
  <c r="Z17" i="16" s="1"/>
  <c r="Z9" i="16"/>
  <c r="AC8" i="16" l="1"/>
  <c r="AA16" i="16"/>
  <c r="AB8" i="16"/>
  <c r="AA9" i="16"/>
  <c r="AB9" i="16" s="1"/>
  <c r="AD15" i="16"/>
  <c r="AB16" i="16" l="1"/>
  <c r="AA17" i="16"/>
  <c r="AB17" i="16" s="1"/>
  <c r="AC16" i="16"/>
  <c r="AC17" i="16" s="1"/>
  <c r="AD8" i="16"/>
  <c r="AC9" i="16"/>
  <c r="AD16" i="16" l="1"/>
  <c r="AD17" i="16" s="1"/>
  <c r="AD9" i="16"/>
</calcChain>
</file>

<file path=xl/sharedStrings.xml><?xml version="1.0" encoding="utf-8"?>
<sst xmlns="http://schemas.openxmlformats.org/spreadsheetml/2006/main" count="3788" uniqueCount="178">
  <si>
    <t>date</t>
  </si>
  <si>
    <t>bu</t>
  </si>
  <si>
    <t>client</t>
  </si>
  <si>
    <t>client_id</t>
  </si>
  <si>
    <t>groups</t>
  </si>
  <si>
    <t>origin</t>
  </si>
  <si>
    <t>PY_Actual_Volume</t>
  </si>
  <si>
    <t>Actual_Volume</t>
  </si>
  <si>
    <t>Base_Forecast</t>
  </si>
  <si>
    <t>Adjusted_Volume</t>
  </si>
  <si>
    <t>Net_Forecast_Volume</t>
  </si>
  <si>
    <t>Actual_AHT</t>
  </si>
  <si>
    <t>Domestic_Pct</t>
  </si>
  <si>
    <t>Telus_Pct</t>
  </si>
  <si>
    <t>domestic_fixed_aht</t>
  </si>
  <si>
    <t>telus_fixed_aht</t>
  </si>
  <si>
    <t>Domestic_Actual_Workload_Hours</t>
  </si>
  <si>
    <t>Telus_Actual_Workload_Hours</t>
  </si>
  <si>
    <t>Domestic_Forecast_Workload_Hours</t>
  </si>
  <si>
    <t>Telus_Forecast_Workload_Hours</t>
  </si>
  <si>
    <t>total_days</t>
  </si>
  <si>
    <t>weekday_count</t>
  </si>
  <si>
    <t>weekend_day_count</t>
  </si>
  <si>
    <t>holiday_count</t>
  </si>
  <si>
    <t>business_day_count</t>
  </si>
  <si>
    <t>business_hours</t>
  </si>
  <si>
    <t>Domestic_Actual_FTE</t>
  </si>
  <si>
    <t>Telus_Actual_FTE</t>
  </si>
  <si>
    <t>Total_Actual_FTE</t>
  </si>
  <si>
    <t>Domestic_Forecast_FTE</t>
  </si>
  <si>
    <t>Telus_Forecast_FTE</t>
  </si>
  <si>
    <t>Total_Forecast_FTE</t>
  </si>
  <si>
    <t>Answerlink</t>
  </si>
  <si>
    <t>AmerDisAct</t>
  </si>
  <si>
    <t>phone</t>
  </si>
  <si>
    <t>chat</t>
  </si>
  <si>
    <t>EMGLine</t>
  </si>
  <si>
    <t>Hotline</t>
  </si>
  <si>
    <t>Matrix 1</t>
  </si>
  <si>
    <t>Matrix 2</t>
  </si>
  <si>
    <t>Matrix SP1</t>
  </si>
  <si>
    <t>Matrix SP2</t>
  </si>
  <si>
    <t>OneHome</t>
  </si>
  <si>
    <t>PropWatch</t>
  </si>
  <si>
    <t>Trestle</t>
  </si>
  <si>
    <t>email</t>
  </si>
  <si>
    <t>Date</t>
  </si>
  <si>
    <t>Actuall locked FTE (Demand)</t>
  </si>
  <si>
    <t>Active Headcount</t>
  </si>
  <si>
    <t>Delta</t>
  </si>
  <si>
    <t>report_month</t>
  </si>
  <si>
    <t>snapshot_date</t>
  </si>
  <si>
    <t>emp_id</t>
  </si>
  <si>
    <t>pref_nm</t>
  </si>
  <si>
    <t>job_ttl</t>
  </si>
  <si>
    <t>job_cd</t>
  </si>
  <si>
    <t>cc_nm</t>
  </si>
  <si>
    <t>mgr_nm</t>
  </si>
  <si>
    <t>Gerry Thompson</t>
  </si>
  <si>
    <t>Sr Associate, Technical Customer Care</t>
  </si>
  <si>
    <t>NO2CS020</t>
  </si>
  <si>
    <t>Tier 1 MarketLinx</t>
  </si>
  <si>
    <t>Alina Dorina</t>
  </si>
  <si>
    <t>Beth Waninger</t>
  </si>
  <si>
    <t>Assoc Manager, Customer Experience</t>
  </si>
  <si>
    <t>EL1CS001</t>
  </si>
  <si>
    <t>Amber Grace</t>
  </si>
  <si>
    <t>Benjamin Langford</t>
  </si>
  <si>
    <t>Chrisnel Lesperance</t>
  </si>
  <si>
    <t>Associate, Technical Customer Care</t>
  </si>
  <si>
    <t>NO1CS020</t>
  </si>
  <si>
    <t>Joncarlos Angel</t>
  </si>
  <si>
    <t>Kevin Holmes</t>
  </si>
  <si>
    <t>Keyven Dodson</t>
  </si>
  <si>
    <t>Nikola Zecevic</t>
  </si>
  <si>
    <t>Richard Pierre</t>
  </si>
  <si>
    <t>Stephen Jacobs</t>
  </si>
  <si>
    <t>Team Lead, Technical Customer Care</t>
  </si>
  <si>
    <t>NO3CS021</t>
  </si>
  <si>
    <t>Thomas Lowe</t>
  </si>
  <si>
    <t>Tim Martin</t>
  </si>
  <si>
    <t>Rita McGaughey</t>
  </si>
  <si>
    <t>Payton Kelley</t>
  </si>
  <si>
    <t>Elias Yanes</t>
  </si>
  <si>
    <t>William Sykes</t>
  </si>
  <si>
    <t>David Rutledge</t>
  </si>
  <si>
    <t>Active Headcount Domestic</t>
  </si>
  <si>
    <t>Active Headcount Telus (locked)</t>
  </si>
  <si>
    <t>Total Headcount</t>
  </si>
  <si>
    <t>All</t>
  </si>
  <si>
    <t>Origin</t>
  </si>
  <si>
    <t>Email/Web</t>
  </si>
  <si>
    <t>Phone</t>
  </si>
  <si>
    <t>CLIENTS DOMESTIC</t>
  </si>
  <si>
    <t>CLIENTS TELUS</t>
  </si>
  <si>
    <t>Service Level</t>
  </si>
  <si>
    <t>Domestic Total FTE</t>
  </si>
  <si>
    <t>Telus Total FTE</t>
  </si>
  <si>
    <t>Chat</t>
  </si>
  <si>
    <t>dt</t>
  </si>
  <si>
    <t>event_type</t>
  </si>
  <si>
    <t>event_desc</t>
  </si>
  <si>
    <t>bu_adj_vol</t>
  </si>
  <si>
    <t>notes</t>
  </si>
  <si>
    <t>adjusted_by</t>
  </si>
  <si>
    <t>status</t>
  </si>
  <si>
    <t>load_ts</t>
  </si>
  <si>
    <t>Client Leaving</t>
  </si>
  <si>
    <t>OneKey ends their contract (2025-12-31)</t>
  </si>
  <si>
    <t>jhgonzalez</t>
  </si>
  <si>
    <t>A</t>
  </si>
  <si>
    <t>New Client</t>
  </si>
  <si>
    <t>REBNY  Starts their contract (2026-03-01)</t>
  </si>
  <si>
    <t>Delayed</t>
  </si>
  <si>
    <t>Ramp up analysis with the business - 15,000 agents waves per Quarter (2,500 each) 1m@10, 2m@5, 3m@3</t>
  </si>
  <si>
    <t>chat to phone ratio used from similar client OneKey</t>
  </si>
  <si>
    <t>BeachesMLS moving their Add/Edit capabilities from Matrix(2026-01-20)</t>
  </si>
  <si>
    <t>LSAR (Lake Superior Area of Realtors) - New Customer</t>
  </si>
  <si>
    <t>1000 agents coming on May2026 - 10% Launch Spike (100 calls in Week 1) + 3 weeks of gradual decay.</t>
  </si>
  <si>
    <t>1000 agents coming on May2026 - Post-Launch Stabilization. Moving toward steady state.</t>
  </si>
  <si>
    <t>1000 agents coming on May2026</t>
  </si>
  <si>
    <t>RES launching several new products to Real Estate Agents (2025-05-01)</t>
  </si>
  <si>
    <t>Monthly estimates from the business Amber Grace</t>
  </si>
  <si>
    <t>last2m average</t>
  </si>
  <si>
    <t>RES Answerlink</t>
  </si>
  <si>
    <t>(null)</t>
  </si>
  <si>
    <t>Sum_Handled_Calls</t>
  </si>
  <si>
    <t>Sum_Service_Level_Calls</t>
  </si>
  <si>
    <t>Service_Level_Handled_Percentage</t>
  </si>
  <si>
    <t>domestic_occupancy</t>
  </si>
  <si>
    <t>domestic_shrinkage</t>
  </si>
  <si>
    <t>domestic_attrition</t>
  </si>
  <si>
    <t>telus_occupancy</t>
  </si>
  <si>
    <t>telus_shrinkage</t>
  </si>
  <si>
    <t>telus_attrition</t>
  </si>
  <si>
    <t>Total_Actual_Workload_Hours</t>
  </si>
  <si>
    <t>Total_Forecast_Workload_Hours</t>
  </si>
  <si>
    <t>2025 Avg</t>
  </si>
  <si>
    <t>2026 Avg</t>
  </si>
  <si>
    <t>Total FTE</t>
  </si>
  <si>
    <t>Domestic Gap FTE</t>
  </si>
  <si>
    <t>Telus Gap FTE</t>
  </si>
  <si>
    <t>Total Gap FTE</t>
  </si>
  <si>
    <t>Operation Req FTE Total</t>
  </si>
  <si>
    <t>Actual Req FTE Total</t>
  </si>
  <si>
    <t>Forecast Req FTE Total</t>
  </si>
  <si>
    <t>Operations</t>
  </si>
  <si>
    <t>Weekday count</t>
  </si>
  <si>
    <t>Weekend day count</t>
  </si>
  <si>
    <t>Weekday operation hours per day</t>
  </si>
  <si>
    <t>Weekend operation hours per day</t>
  </si>
  <si>
    <t>Day</t>
  </si>
  <si>
    <t>Start Time (Decimal)</t>
  </si>
  <si>
    <t>Duration (Hours)</t>
  </si>
  <si>
    <t>Shift Time (For Reference)</t>
  </si>
  <si>
    <t>Emp A (Full-Time)</t>
  </si>
  <si>
    <t>Monday</t>
  </si>
  <si>
    <t>7:00 AM - 3:30 PM</t>
  </si>
  <si>
    <t>Emp B (Full-Time)</t>
  </si>
  <si>
    <t>3:30 PM - 12:00 AM</t>
  </si>
  <si>
    <t>Tuesday</t>
  </si>
  <si>
    <t>Wednesday</t>
  </si>
  <si>
    <t>Emp C (Full-Time)</t>
  </si>
  <si>
    <t>Thursday</t>
  </si>
  <si>
    <t>Friday</t>
  </si>
  <si>
    <t>Saturday</t>
  </si>
  <si>
    <t>7:30 AM - 4:00 PM</t>
  </si>
  <si>
    <t>1:30 PM - 10:00 PM</t>
  </si>
  <si>
    <t>Sunday</t>
  </si>
  <si>
    <t>10:00 AM - 6:30 PM</t>
  </si>
  <si>
    <t>Emp D (Full-Time)</t>
  </si>
  <si>
    <t>12:00 PM - 8:30 PM</t>
  </si>
  <si>
    <t>Emp E (Part-Time)</t>
  </si>
  <si>
    <t>Chat AHT</t>
  </si>
  <si>
    <t>Email/Web AHT</t>
  </si>
  <si>
    <t>Employee</t>
  </si>
  <si>
    <t>Phone AHT (Matrix 1)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</si>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</sst>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E1E6E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22" fontId="0" fillId="0" borderId="0" xfId="0" applyNumberFormat="1"/>
    <xf numFmtId="11" fontId="0" fillId="0" borderId="0" xfId="0" applyNumberFormat="1"/>
    <xf numFmtId="2" fontId="0" fillId="0" borderId="0" xfId="0" applyNumberFormat="1"/>
    <xf numFmtId="10" fontId="0" fillId="0" borderId="0" xfId="0" applyNumberFormat="1"/>
    <xf numFmtId="1" fontId="0" fillId="0" borderId="0" xfId="0" applyNumberFormat="1"/>
    <xf numFmtId="0" fontId="0" fillId="0" borderId="0" xfId="0" applyFont="1" applyBorder="1"/>
    <xf numFmtId="0" fontId="0" fillId="0" borderId="0" xfId="0" applyFont="1" applyBorder="1" applyAlignment="1"/>
    <xf numFmtId="3" fontId="0" fillId="0" borderId="0" xfId="0" applyNumberFormat="1"/>
    <xf numFmtId="17" fontId="5" fillId="4" borderId="1" xfId="0" applyNumberFormat="1" applyFont="1" applyFill="1" applyBorder="1" applyAlignment="1">
      <alignment horizontal="center"/>
    </xf>
    <xf numFmtId="0" fontId="4" fillId="2" borderId="1" xfId="0" applyFont="1" applyFill="1" applyBorder="1"/>
    <xf numFmtId="0" fontId="0" fillId="2" borderId="1" xfId="0" applyFill="1" applyBorder="1"/>
    <xf numFmtId="1" fontId="0" fillId="2" borderId="1" xfId="0" applyNumberFormat="1" applyFill="1" applyBorder="1"/>
    <xf numFmtId="2" fontId="0" fillId="2" borderId="1" xfId="0" applyNumberFormat="1" applyFill="1" applyBorder="1"/>
    <xf numFmtId="2" fontId="0" fillId="3" borderId="1" xfId="0" applyNumberFormat="1" applyFill="1" applyBorder="1"/>
    <xf numFmtId="3" fontId="0" fillId="2" borderId="1" xfId="0" applyNumberFormat="1" applyFill="1" applyBorder="1"/>
    <xf numFmtId="0" fontId="4" fillId="0" borderId="1" xfId="0" applyFont="1" applyBorder="1"/>
    <xf numFmtId="0" fontId="0" fillId="0" borderId="1" xfId="0" applyBorder="1"/>
    <xf numFmtId="1" fontId="0" fillId="0" borderId="1" xfId="0" applyNumberFormat="1" applyBorder="1"/>
    <xf numFmtId="1" fontId="0" fillId="5" borderId="1" xfId="0" applyNumberFormat="1" applyFill="1" applyBorder="1"/>
    <xf numFmtId="2" fontId="0" fillId="0" borderId="1" xfId="0" applyNumberFormat="1" applyBorder="1"/>
    <xf numFmtId="2" fontId="0" fillId="5" borderId="1" xfId="0" applyNumberFormat="1" applyFill="1" applyBorder="1"/>
    <xf numFmtId="10" fontId="0" fillId="0" borderId="1" xfId="0" applyNumberFormat="1" applyBorder="1"/>
    <xf numFmtId="10" fontId="0" fillId="5" borderId="1" xfId="0" applyNumberFormat="1" applyFill="1" applyBorder="1"/>
    <xf numFmtId="3" fontId="0" fillId="0" borderId="1" xfId="0" applyNumberFormat="1" applyBorder="1"/>
    <xf numFmtId="3" fontId="0" fillId="5" borderId="1" xfId="0" applyNumberFormat="1" applyFill="1" applyBorder="1"/>
    <xf numFmtId="2" fontId="0" fillId="3" borderId="0" xfId="0" applyNumberFormat="1" applyFill="1" applyBorder="1"/>
    <xf numFmtId="0" fontId="6" fillId="5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Minimum Operations Coverage Schedule (Jan 2026)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 Time (Decimal)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22"/>
              <c:pt idx="0">
                <c:v>Monday</c:v>
              </c:pt>
              <c:pt idx="1">
                <c:v>Monday</c:v>
              </c:pt>
              <c:pt idx="2">
                <c:v>Monday</c:v>
              </c:pt>
              <c:pt idx="3">
                <c:v>Tuesday</c:v>
              </c:pt>
              <c:pt idx="4">
                <c:v>Tuesday</c:v>
              </c:pt>
              <c:pt idx="5">
                <c:v>Tuesday</c:v>
              </c:pt>
              <c:pt idx="6">
                <c:v>Wednesday</c:v>
              </c:pt>
              <c:pt idx="7">
                <c:v>Wednesday</c:v>
              </c:pt>
              <c:pt idx="8">
                <c:v>Wednesday</c:v>
              </c:pt>
              <c:pt idx="9">
                <c:v>Wednesday</c:v>
              </c:pt>
              <c:pt idx="10">
                <c:v>Thursday</c:v>
              </c:pt>
              <c:pt idx="11">
                <c:v>Thursday</c:v>
              </c:pt>
              <c:pt idx="12">
                <c:v>Thursday</c:v>
              </c:pt>
              <c:pt idx="13">
                <c:v>Thursday</c:v>
              </c:pt>
              <c:pt idx="14">
                <c:v>Friday</c:v>
              </c:pt>
              <c:pt idx="15">
                <c:v>Friday</c:v>
              </c:pt>
              <c:pt idx="16">
                <c:v>Friday</c:v>
              </c:pt>
              <c:pt idx="17">
                <c:v>Friday</c:v>
              </c:pt>
              <c:pt idx="18">
                <c:v>Saturday</c:v>
              </c:pt>
              <c:pt idx="19">
                <c:v>Saturday</c:v>
              </c:pt>
              <c:pt idx="20">
                <c:v>Sunday</c:v>
              </c:pt>
              <c:pt idx="21">
                <c:v>Sunday</c:v>
              </c:pt>
            </c:strLit>
          </c:cat>
          <c:val>
            <c:numRef>
              <c:f>'Operations Mockup'!$C$2:$C$23</c:f>
              <c:numCache>
                <c:formatCode>0.00</c:formatCode>
                <c:ptCount val="22"/>
                <c:pt idx="0">
                  <c:v>7</c:v>
                </c:pt>
                <c:pt idx="1">
                  <c:v>10</c:v>
                </c:pt>
                <c:pt idx="2">
                  <c:v>15.5</c:v>
                </c:pt>
                <c:pt idx="3">
                  <c:v>7</c:v>
                </c:pt>
                <c:pt idx="4">
                  <c:v>10</c:v>
                </c:pt>
                <c:pt idx="5">
                  <c:v>15.5</c:v>
                </c:pt>
                <c:pt idx="6">
                  <c:v>7</c:v>
                </c:pt>
                <c:pt idx="7">
                  <c:v>10</c:v>
                </c:pt>
                <c:pt idx="8">
                  <c:v>12</c:v>
                </c:pt>
                <c:pt idx="9">
                  <c:v>15.5</c:v>
                </c:pt>
                <c:pt idx="10">
                  <c:v>7</c:v>
                </c:pt>
                <c:pt idx="11">
                  <c:v>10</c:v>
                </c:pt>
                <c:pt idx="12">
                  <c:v>12</c:v>
                </c:pt>
                <c:pt idx="13">
                  <c:v>15.5</c:v>
                </c:pt>
                <c:pt idx="14">
                  <c:v>7</c:v>
                </c:pt>
                <c:pt idx="15">
                  <c:v>10</c:v>
                </c:pt>
                <c:pt idx="16">
                  <c:v>12</c:v>
                </c:pt>
                <c:pt idx="17">
                  <c:v>15.5</c:v>
                </c:pt>
                <c:pt idx="18">
                  <c:v>7.5</c:v>
                </c:pt>
                <c:pt idx="19">
                  <c:v>13.5</c:v>
                </c:pt>
                <c:pt idx="20">
                  <c:v>7.5</c:v>
                </c:pt>
                <c:pt idx="21">
                  <c:v>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8-4CFD-B766-4D613C861CA7}"/>
            </c:ext>
          </c:extLst>
        </c:ser>
        <c:ser>
          <c:idx val="1"/>
          <c:order val="1"/>
          <c:tx>
            <c:v>Duration (Hours)</c:v>
          </c:tx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2-1A68-4CFD-B766-4D613C861CA7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3-1A68-4CFD-B766-4D613C861CA7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4-1A68-4CFD-B766-4D613C861CA7}"/>
              </c:ext>
            </c:extLst>
          </c:dPt>
          <c:dPt>
            <c:idx val="3"/>
            <c:invertIfNegative val="0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5-1A68-4CFD-B766-4D613C861CA7}"/>
              </c:ext>
            </c:extLst>
          </c:dPt>
          <c:dPt>
            <c:idx val="4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6-1A68-4CFD-B766-4D613C861CA7}"/>
              </c:ext>
            </c:extLst>
          </c:dPt>
          <c:dPt>
            <c:idx val="5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7-1A68-4CFD-B766-4D613C861CA7}"/>
              </c:ext>
            </c:extLst>
          </c:dPt>
          <c:dPt>
            <c:idx val="6"/>
            <c:invertIfNegative val="0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8-1A68-4CFD-B766-4D613C861CA7}"/>
              </c:ext>
            </c:extLst>
          </c:dPt>
          <c:dPt>
            <c:idx val="7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9-1A68-4CFD-B766-4D613C861CA7}"/>
              </c:ext>
            </c:extLst>
          </c:dPt>
          <c:dPt>
            <c:idx val="8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1A68-4CFD-B766-4D613C861CA7}"/>
              </c:ext>
            </c:extLst>
          </c:dPt>
          <c:dPt>
            <c:idx val="9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B-1A68-4CFD-B766-4D613C861CA7}"/>
              </c:ext>
            </c:extLst>
          </c:dPt>
          <c:dPt>
            <c:idx val="10"/>
            <c:invertIfNegative val="0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C-1A68-4CFD-B766-4D613C861CA7}"/>
              </c:ext>
            </c:extLst>
          </c:dPt>
          <c:dPt>
            <c:idx val="1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1A68-4CFD-B766-4D613C861CA7}"/>
              </c:ext>
            </c:extLst>
          </c:dPt>
          <c:dPt>
            <c:idx val="12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1A68-4CFD-B766-4D613C861CA7}"/>
              </c:ext>
            </c:extLst>
          </c:dPt>
          <c:dPt>
            <c:idx val="13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F-1A68-4CFD-B766-4D613C861CA7}"/>
              </c:ext>
            </c:extLst>
          </c:dPt>
          <c:dPt>
            <c:idx val="14"/>
            <c:invertIfNegative val="0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10-1A68-4CFD-B766-4D613C861CA7}"/>
              </c:ext>
            </c:extLst>
          </c:dPt>
          <c:dPt>
            <c:idx val="15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1-1A68-4CFD-B766-4D613C861CA7}"/>
              </c:ext>
            </c:extLst>
          </c:dPt>
          <c:dPt>
            <c:idx val="16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2-1A68-4CFD-B766-4D613C861CA7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3-1A68-4CFD-B766-4D613C861CA7}"/>
              </c:ext>
            </c:extLst>
          </c:dPt>
          <c:dPt>
            <c:idx val="18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4-1A68-4CFD-B766-4D613C861CA7}"/>
              </c:ext>
            </c:extLst>
          </c:dPt>
          <c:dPt>
            <c:idx val="19"/>
            <c:invertIfNegative val="0"/>
            <c:bubble3D val="0"/>
            <c:spPr>
              <a:solidFill>
                <a:srgbClr val="7030A0"/>
              </a:solidFill>
            </c:spPr>
            <c:extLst>
              <c:ext xmlns:c16="http://schemas.microsoft.com/office/drawing/2014/chart" uri="{C3380CC4-5D6E-409C-BE32-E72D297353CC}">
                <c16:uniqueId val="{00000015-1A68-4CFD-B766-4D613C861CA7}"/>
              </c:ext>
            </c:extLst>
          </c:dPt>
          <c:dPt>
            <c:idx val="20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6-1A68-4CFD-B766-4D613C861CA7}"/>
              </c:ext>
            </c:extLst>
          </c:dPt>
          <c:dPt>
            <c:idx val="21"/>
            <c:invertIfNegative val="0"/>
            <c:bubble3D val="0"/>
            <c:spPr>
              <a:solidFill>
                <a:srgbClr val="7030A0"/>
              </a:solidFill>
            </c:spPr>
            <c:extLst>
              <c:ext xmlns:c16="http://schemas.microsoft.com/office/drawing/2014/chart" uri="{C3380CC4-5D6E-409C-BE32-E72D297353CC}">
                <c16:uniqueId val="{00000017-1A68-4CFD-B766-4D613C861CA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Emp 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A68-4CFD-B766-4D613C861C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Emp C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A68-4CFD-B766-4D613C861C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Emp B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A68-4CFD-B766-4D613C861C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Emp 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A68-4CFD-B766-4D613C861C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Emp C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A68-4CFD-B766-4D613C861C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Emp B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A68-4CFD-B766-4D613C861C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Emp 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A68-4CFD-B766-4D613C861C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Emp C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A68-4CFD-B766-4D613C861C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Emp D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A68-4CFD-B766-4D613C861C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Emp B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A68-4CFD-B766-4D613C861C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Emp 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A68-4CFD-B766-4D613C861C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Emp C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A68-4CFD-B766-4D613C861C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Emp D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A68-4CFD-B766-4D613C861C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Emp B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A68-4CFD-B766-4D613C861C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Emp 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A68-4CFD-B766-4D613C861C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Emp C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A68-4CFD-B766-4D613C861C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Emp D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A68-4CFD-B766-4D613C861C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Emp B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A68-4CFD-B766-4D613C861C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Emp D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A68-4CFD-B766-4D613C861C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Emp E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A68-4CFD-B766-4D613C861C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Emp D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1A68-4CFD-B766-4D613C861C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Emp E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1A68-4CFD-B766-4D613C861C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'Operations Mockup'!$D$2:$D$23</c:f>
              <c:numCache>
                <c:formatCode>0.00</c:formatCode>
                <c:ptCount val="22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8.5</c:v>
                </c:pt>
                <c:pt idx="5">
                  <c:v>8.5</c:v>
                </c:pt>
                <c:pt idx="6">
                  <c:v>8.5</c:v>
                </c:pt>
                <c:pt idx="7">
                  <c:v>8.5</c:v>
                </c:pt>
                <c:pt idx="8">
                  <c:v>8.5</c:v>
                </c:pt>
                <c:pt idx="9">
                  <c:v>8.5</c:v>
                </c:pt>
                <c:pt idx="10">
                  <c:v>8.5</c:v>
                </c:pt>
                <c:pt idx="11">
                  <c:v>8.5</c:v>
                </c:pt>
                <c:pt idx="12">
                  <c:v>8.5</c:v>
                </c:pt>
                <c:pt idx="13">
                  <c:v>8.5</c:v>
                </c:pt>
                <c:pt idx="14">
                  <c:v>8.5</c:v>
                </c:pt>
                <c:pt idx="15">
                  <c:v>8.5</c:v>
                </c:pt>
                <c:pt idx="16">
                  <c:v>8.5</c:v>
                </c:pt>
                <c:pt idx="17">
                  <c:v>8.5</c:v>
                </c:pt>
                <c:pt idx="18">
                  <c:v>8.5</c:v>
                </c:pt>
                <c:pt idx="19">
                  <c:v>8.5</c:v>
                </c:pt>
                <c:pt idx="20">
                  <c:v>8.5</c:v>
                </c:pt>
                <c:pt idx="21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68-4CFD-B766-4D613C861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876690472"/>
        <c:axId val="876692992"/>
      </c:barChart>
      <c:catAx>
        <c:axId val="87669047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876692992"/>
        <c:crosses val="autoZero"/>
        <c:auto val="1"/>
        <c:lblAlgn val="ctr"/>
        <c:lblOffset val="100"/>
        <c:noMultiLvlLbl val="0"/>
      </c:catAx>
      <c:valAx>
        <c:axId val="876692992"/>
        <c:scaling>
          <c:orientation val="minMax"/>
          <c:max val="24"/>
          <c:min val="6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 (Military Time)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876690472"/>
        <c:crosses val="autoZero"/>
        <c:crossBetween val="between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0</xdr:rowOff>
    </xdr:from>
    <xdr:to>
      <xdr:col>21</xdr:col>
      <xdr:colOff>406400</xdr:colOff>
      <xdr:row>33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B7A6099-E7AD-248F-21F7-46B7D5EFA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BF492-0805-4B24-8B29-8AFCE5FEB272}">
  <sheetPr codeName="Sheet4"/>
  <dimension ref="A1:ZX52"/>
  <sheetViews>
    <sheetView showGridLines="0" tabSelected="1"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defaultRowHeight="15" x14ac:dyDescent="0.25"/>
  <cols>
    <col min="1" max="1" width="32" bestFit="1" customWidth="1"/>
    <col min="2" max="2" width="10.5703125" bestFit="1" customWidth="1"/>
    <col min="3" max="14" width="7.5703125" bestFit="1" customWidth="1"/>
    <col min="15" max="15" width="8.85546875" bestFit="1" customWidth="1"/>
    <col min="16" max="17" width="7.5703125" bestFit="1" customWidth="1"/>
    <col min="18" max="18" width="7" bestFit="1" customWidth="1"/>
    <col min="19" max="19" width="6.85546875" bestFit="1" customWidth="1"/>
    <col min="20" max="20" width="7.28515625" bestFit="1" customWidth="1"/>
    <col min="21" max="21" width="6.7109375" bestFit="1" customWidth="1"/>
    <col min="22" max="22" width="6.42578125" bestFit="1" customWidth="1"/>
    <col min="23" max="24" width="7.140625" bestFit="1" customWidth="1"/>
    <col min="25" max="25" width="7" bestFit="1" customWidth="1"/>
    <col min="26" max="27" width="7.28515625" bestFit="1" customWidth="1"/>
    <col min="28" max="28" width="8.85546875" bestFit="1" customWidth="1"/>
    <col min="29" max="29" width="6.5703125" bestFit="1" customWidth="1"/>
    <col min="30" max="30" width="7" bestFit="1" customWidth="1"/>
  </cols>
  <sheetData>
    <row r="1" spans="1:700" x14ac:dyDescent="0.25">
      <c r="A1" s="16" t="s">
        <v>146</v>
      </c>
      <c r="B1" s="16"/>
      <c r="C1" s="16">
        <v>45658</v>
      </c>
      <c r="D1" s="16">
        <v>45689</v>
      </c>
      <c r="E1" s="16">
        <v>45717</v>
      </c>
      <c r="F1" s="16">
        <v>45748</v>
      </c>
      <c r="G1" s="16">
        <v>45778</v>
      </c>
      <c r="H1" s="16">
        <v>45809</v>
      </c>
      <c r="I1" s="16">
        <v>45839</v>
      </c>
      <c r="J1" s="16">
        <v>45870</v>
      </c>
      <c r="K1" s="16">
        <v>45901</v>
      </c>
      <c r="L1" s="16">
        <v>45931</v>
      </c>
      <c r="M1" s="16">
        <v>45962</v>
      </c>
      <c r="N1" s="16">
        <v>45992</v>
      </c>
      <c r="O1" s="34" t="s">
        <v>137</v>
      </c>
      <c r="P1" s="16">
        <v>46023</v>
      </c>
      <c r="Q1" s="16">
        <v>46054</v>
      </c>
      <c r="R1" s="16">
        <v>46082</v>
      </c>
      <c r="S1" s="16">
        <v>46113</v>
      </c>
      <c r="T1" s="16">
        <v>46143</v>
      </c>
      <c r="U1" s="16">
        <v>46174</v>
      </c>
      <c r="V1" s="16">
        <v>46204</v>
      </c>
      <c r="W1" s="16">
        <v>46235</v>
      </c>
      <c r="X1" s="16">
        <v>46266</v>
      </c>
      <c r="Y1" s="16">
        <v>46296</v>
      </c>
      <c r="Z1" s="16">
        <v>46327</v>
      </c>
      <c r="AA1" s="16">
        <v>46357</v>
      </c>
      <c r="AB1" s="34" t="s">
        <v>138</v>
      </c>
      <c r="AC1" s="16">
        <v>46388</v>
      </c>
      <c r="AD1" s="16">
        <v>46419</v>
      </c>
    </row>
    <row r="2" spans="1:700" x14ac:dyDescent="0.25">
      <c r="A2" s="17" t="s">
        <v>147</v>
      </c>
      <c r="B2" s="18"/>
      <c r="C2" s="19">
        <f>IFERROR(AVERAGEIFS('FTE Calculator'!$AG:$AG, 'FTE Calculator'!$A:$A, C$1), 0)</f>
        <v>23</v>
      </c>
      <c r="D2" s="19">
        <f>IFERROR(AVERAGEIFS('FTE Calculator'!$AG:$AG, 'FTE Calculator'!$A:$A, D$1), 0)</f>
        <v>20</v>
      </c>
      <c r="E2" s="19">
        <f>IFERROR(AVERAGEIFS('FTE Calculator'!$AG:$AG, 'FTE Calculator'!$A:$A, E$1), 0)</f>
        <v>21</v>
      </c>
      <c r="F2" s="19">
        <f>IFERROR(AVERAGEIFS('FTE Calculator'!$AG:$AG, 'FTE Calculator'!$A:$A, F$1), 0)</f>
        <v>22</v>
      </c>
      <c r="G2" s="19">
        <f>IFERROR(AVERAGEIFS('FTE Calculator'!$AG:$AG, 'FTE Calculator'!$A:$A, G$1), 0)</f>
        <v>22</v>
      </c>
      <c r="H2" s="19">
        <f>IFERROR(AVERAGEIFS('FTE Calculator'!$AG:$AG, 'FTE Calculator'!$A:$A, H$1), 0)</f>
        <v>21</v>
      </c>
      <c r="I2" s="19">
        <f>IFERROR(AVERAGEIFS('FTE Calculator'!$AG:$AG, 'FTE Calculator'!$A:$A, I$1), 0)</f>
        <v>23</v>
      </c>
      <c r="J2" s="19">
        <f>IFERROR(AVERAGEIFS('FTE Calculator'!$AG:$AG, 'FTE Calculator'!$A:$A, J$1), 0)</f>
        <v>21</v>
      </c>
      <c r="K2" s="19">
        <f>IFERROR(AVERAGEIFS('FTE Calculator'!$AG:$AG, 'FTE Calculator'!$A:$A, K$1), 0)</f>
        <v>22</v>
      </c>
      <c r="L2" s="19">
        <f>IFERROR(AVERAGEIFS('FTE Calculator'!$AG:$AG, 'FTE Calculator'!$A:$A, L$1), 0)</f>
        <v>23</v>
      </c>
      <c r="M2" s="19">
        <f>IFERROR(AVERAGEIFS('FTE Calculator'!$AG:$AG, 'FTE Calculator'!$A:$A, M$1), 0)</f>
        <v>20</v>
      </c>
      <c r="N2" s="19">
        <f>IFERROR(AVERAGEIFS('FTE Calculator'!$AG:$AG, 'FTE Calculator'!$A:$A, N$1), 0)</f>
        <v>23</v>
      </c>
      <c r="O2" s="26">
        <f>AVERAGE(C2:N2)</f>
        <v>21.75</v>
      </c>
      <c r="P2" s="19">
        <f>IFERROR(AVERAGEIFS('FTE Calculator'!$AG:$AG, 'FTE Calculator'!$A:$A, P$1), 0)</f>
        <v>22</v>
      </c>
      <c r="Q2" s="19">
        <f>IFERROR(AVERAGEIFS('FTE Calculator'!$AG:$AG, 'FTE Calculator'!$A:$A, Q$1), 0)</f>
        <v>20</v>
      </c>
      <c r="R2" s="19">
        <f>IFERROR(AVERAGEIFS('FTE Calculator'!$AG:$AG, 'FTE Calculator'!$A:$A, R$1), 0)</f>
        <v>22</v>
      </c>
      <c r="S2" s="19">
        <f>IFERROR(AVERAGEIFS('FTE Calculator'!$AG:$AG, 'FTE Calculator'!$A:$A, S$1), 0)</f>
        <v>22</v>
      </c>
      <c r="T2" s="19">
        <f>IFERROR(AVERAGEIFS('FTE Calculator'!$AG:$AG, 'FTE Calculator'!$A:$A, T$1), 0)</f>
        <v>21</v>
      </c>
      <c r="U2" s="19">
        <f>IFERROR(AVERAGEIFS('FTE Calculator'!$AG:$AG, 'FTE Calculator'!$A:$A, U$1), 0)</f>
        <v>22</v>
      </c>
      <c r="V2" s="19">
        <f>IFERROR(AVERAGEIFS('FTE Calculator'!$AG:$AG, 'FTE Calculator'!$A:$A, V$1), 0)</f>
        <v>23</v>
      </c>
      <c r="W2" s="19">
        <f>IFERROR(AVERAGEIFS('FTE Calculator'!$AG:$AG, 'FTE Calculator'!$A:$A, W$1), 0)</f>
        <v>21</v>
      </c>
      <c r="X2" s="19">
        <f>IFERROR(AVERAGEIFS('FTE Calculator'!$AG:$AG, 'FTE Calculator'!$A:$A, X$1), 0)</f>
        <v>22</v>
      </c>
      <c r="Y2" s="19">
        <f>IFERROR(AVERAGEIFS('FTE Calculator'!$AG:$AG, 'FTE Calculator'!$A:$A, Y$1), 0)</f>
        <v>22</v>
      </c>
      <c r="Z2" s="19">
        <f>IFERROR(AVERAGEIFS('FTE Calculator'!$AG:$AG, 'FTE Calculator'!$A:$A, Z$1), 0)</f>
        <v>21</v>
      </c>
      <c r="AA2" s="19">
        <f>IFERROR(AVERAGEIFS('FTE Calculator'!$AG:$AG, 'FTE Calculator'!$A:$A, AA$1), 0)</f>
        <v>23</v>
      </c>
      <c r="AB2" s="26">
        <f>AVERAGE(P2:AA2)</f>
        <v>21.75</v>
      </c>
      <c r="AC2" s="19">
        <f>IFERROR(AVERAGEIFS('FTE Calculator'!$AG:$AG, 'FTE Calculator'!$A:$A, AC$1), 0)</f>
        <v>21</v>
      </c>
      <c r="AD2" s="19">
        <f>IFERROR(AVERAGEIFS('FTE Calculator'!$AG:$AG, 'FTE Calculator'!$A:$A, AD$1), 0)</f>
        <v>20</v>
      </c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  <c r="KM2" s="12"/>
      <c r="KN2" s="12"/>
      <c r="KO2" s="12"/>
      <c r="KP2" s="12"/>
      <c r="KQ2" s="12"/>
      <c r="KR2" s="12"/>
      <c r="KS2" s="12"/>
      <c r="KT2" s="12"/>
      <c r="KU2" s="12"/>
      <c r="KV2" s="12"/>
      <c r="KW2" s="12"/>
      <c r="KX2" s="12"/>
      <c r="KY2" s="12"/>
      <c r="KZ2" s="12"/>
      <c r="LA2" s="12"/>
      <c r="LB2" s="12"/>
      <c r="LC2" s="12"/>
      <c r="LD2" s="12"/>
      <c r="LE2" s="12"/>
      <c r="LF2" s="12"/>
      <c r="LG2" s="12"/>
      <c r="LH2" s="12"/>
      <c r="LI2" s="12"/>
      <c r="LJ2" s="12"/>
      <c r="LK2" s="12"/>
      <c r="LL2" s="12"/>
      <c r="LM2" s="12"/>
      <c r="LN2" s="12"/>
      <c r="LO2" s="12"/>
      <c r="LP2" s="12"/>
      <c r="LQ2" s="12"/>
      <c r="LR2" s="12"/>
      <c r="LS2" s="12"/>
      <c r="LT2" s="12"/>
      <c r="LU2" s="12"/>
      <c r="LV2" s="12"/>
      <c r="LW2" s="12"/>
      <c r="LX2" s="12"/>
      <c r="LY2" s="12"/>
      <c r="LZ2" s="12"/>
      <c r="MA2" s="12"/>
      <c r="MB2" s="12"/>
      <c r="MC2" s="12"/>
      <c r="MD2" s="12"/>
      <c r="ME2" s="12"/>
      <c r="MF2" s="12"/>
      <c r="MG2" s="12"/>
      <c r="MH2" s="12"/>
      <c r="MI2" s="12"/>
      <c r="MJ2" s="12"/>
      <c r="MK2" s="12"/>
      <c r="ML2" s="12"/>
      <c r="MM2" s="12"/>
      <c r="MN2" s="12"/>
      <c r="MO2" s="12"/>
      <c r="MP2" s="12"/>
      <c r="MQ2" s="12"/>
      <c r="MR2" s="12"/>
      <c r="MS2" s="12"/>
      <c r="MT2" s="12"/>
      <c r="MU2" s="12"/>
      <c r="MV2" s="12"/>
      <c r="MW2" s="12"/>
      <c r="MX2" s="12"/>
      <c r="MY2" s="12"/>
      <c r="MZ2" s="12"/>
      <c r="NA2" s="12"/>
      <c r="NB2" s="12"/>
      <c r="NC2" s="12"/>
      <c r="ND2" s="12"/>
      <c r="NE2" s="12"/>
      <c r="NF2" s="12"/>
      <c r="NG2" s="12"/>
      <c r="NH2" s="12"/>
      <c r="NI2" s="12"/>
      <c r="NJ2" s="12"/>
      <c r="NK2" s="12"/>
      <c r="NL2" s="12"/>
      <c r="NM2" s="12"/>
      <c r="NN2" s="12"/>
      <c r="NO2" s="12"/>
      <c r="NP2" s="12"/>
      <c r="NQ2" s="12"/>
      <c r="NR2" s="12"/>
      <c r="NS2" s="12"/>
      <c r="NT2" s="12"/>
      <c r="NU2" s="12"/>
      <c r="NV2" s="12"/>
      <c r="NW2" s="12"/>
      <c r="NX2" s="12"/>
      <c r="NY2" s="12"/>
      <c r="NZ2" s="12"/>
      <c r="OA2" s="12"/>
      <c r="OB2" s="12"/>
      <c r="OC2" s="12"/>
      <c r="OD2" s="12"/>
      <c r="OE2" s="12"/>
      <c r="OF2" s="12"/>
      <c r="OG2" s="12"/>
      <c r="OH2" s="12"/>
      <c r="OI2" s="12"/>
      <c r="OJ2" s="12"/>
      <c r="OK2" s="12"/>
      <c r="OL2" s="12"/>
      <c r="OM2" s="12"/>
      <c r="ON2" s="12"/>
      <c r="OO2" s="12"/>
      <c r="OP2" s="12"/>
      <c r="OQ2" s="12"/>
      <c r="OR2" s="12"/>
      <c r="OS2" s="12"/>
      <c r="OT2" s="12"/>
      <c r="OU2" s="12"/>
      <c r="OV2" s="12"/>
      <c r="OW2" s="12"/>
      <c r="OX2" s="12"/>
      <c r="OY2" s="12"/>
      <c r="OZ2" s="12"/>
      <c r="PA2" s="12"/>
      <c r="PB2" s="12"/>
      <c r="PC2" s="12"/>
      <c r="PD2" s="12"/>
      <c r="PE2" s="12"/>
      <c r="PF2" s="12"/>
      <c r="PG2" s="12"/>
      <c r="PH2" s="12"/>
      <c r="PI2" s="12"/>
      <c r="PJ2" s="12"/>
      <c r="PK2" s="12"/>
      <c r="PL2" s="12"/>
      <c r="PM2" s="12"/>
      <c r="PN2" s="12"/>
      <c r="PO2" s="12"/>
      <c r="PP2" s="12"/>
      <c r="PQ2" s="12"/>
      <c r="PR2" s="12"/>
      <c r="PS2" s="12"/>
      <c r="PT2" s="12"/>
      <c r="PU2" s="12"/>
      <c r="PV2" s="12"/>
      <c r="PW2" s="12"/>
      <c r="PX2" s="12"/>
      <c r="PY2" s="12"/>
      <c r="PZ2" s="12"/>
      <c r="QA2" s="12"/>
      <c r="QB2" s="12"/>
      <c r="QC2" s="12"/>
      <c r="QD2" s="12"/>
      <c r="QE2" s="12"/>
      <c r="QF2" s="12"/>
      <c r="QG2" s="12"/>
      <c r="QH2" s="12"/>
      <c r="QI2" s="12"/>
      <c r="QJ2" s="12"/>
      <c r="QK2" s="12"/>
      <c r="QL2" s="12"/>
      <c r="QM2" s="12"/>
      <c r="QN2" s="12"/>
      <c r="QO2" s="12"/>
      <c r="QP2" s="12"/>
      <c r="QQ2" s="12"/>
      <c r="QR2" s="12"/>
      <c r="QS2" s="12"/>
      <c r="QT2" s="12"/>
      <c r="QU2" s="12"/>
      <c r="QV2" s="12"/>
      <c r="QW2" s="12"/>
      <c r="QX2" s="12"/>
      <c r="QY2" s="12"/>
      <c r="QZ2" s="12"/>
      <c r="RA2" s="12"/>
      <c r="RB2" s="12"/>
      <c r="RC2" s="12"/>
      <c r="RD2" s="12"/>
      <c r="RE2" s="12"/>
      <c r="RF2" s="12"/>
      <c r="RG2" s="12"/>
      <c r="RH2" s="12"/>
      <c r="RI2" s="12"/>
      <c r="RJ2" s="12"/>
      <c r="RK2" s="12"/>
      <c r="RL2" s="12"/>
      <c r="RM2" s="12"/>
      <c r="RN2" s="12"/>
      <c r="RO2" s="12"/>
      <c r="RP2" s="12"/>
      <c r="RQ2" s="12"/>
      <c r="RR2" s="12"/>
      <c r="RS2" s="12"/>
      <c r="RT2" s="12"/>
      <c r="RU2" s="12"/>
      <c r="RV2" s="12"/>
      <c r="RW2" s="12"/>
      <c r="RX2" s="12"/>
      <c r="RY2" s="12"/>
      <c r="RZ2" s="12"/>
      <c r="SA2" s="12"/>
      <c r="SB2" s="12"/>
      <c r="SC2" s="12"/>
      <c r="SD2" s="12"/>
      <c r="SE2" s="12"/>
      <c r="SF2" s="12"/>
      <c r="SG2" s="12"/>
      <c r="SH2" s="12"/>
      <c r="SI2" s="12"/>
      <c r="SJ2" s="12"/>
      <c r="SK2" s="12"/>
      <c r="SL2" s="12"/>
      <c r="SM2" s="12"/>
      <c r="SN2" s="12"/>
      <c r="SO2" s="12"/>
      <c r="SP2" s="12"/>
      <c r="SQ2" s="12"/>
      <c r="SR2" s="12"/>
      <c r="SS2" s="12"/>
      <c r="ST2" s="12"/>
      <c r="SU2" s="12"/>
      <c r="SV2" s="12"/>
      <c r="SW2" s="12"/>
      <c r="SX2" s="12"/>
      <c r="SY2" s="12"/>
      <c r="SZ2" s="12"/>
      <c r="TA2" s="12"/>
      <c r="TB2" s="12"/>
      <c r="TC2" s="12"/>
      <c r="TD2" s="12"/>
      <c r="TE2" s="12"/>
      <c r="TF2" s="12"/>
      <c r="TG2" s="12"/>
      <c r="TH2" s="12"/>
      <c r="TI2" s="12"/>
      <c r="TJ2" s="12"/>
      <c r="TK2" s="12"/>
      <c r="TL2" s="12"/>
      <c r="TM2" s="12"/>
      <c r="TN2" s="12"/>
      <c r="TO2" s="12"/>
      <c r="TP2" s="12"/>
      <c r="TQ2" s="12"/>
      <c r="TR2" s="12"/>
      <c r="TS2" s="12"/>
      <c r="TT2" s="12"/>
      <c r="TU2" s="12"/>
      <c r="TV2" s="12"/>
      <c r="TW2" s="12"/>
      <c r="TX2" s="12"/>
      <c r="TY2" s="12"/>
      <c r="TZ2" s="12"/>
      <c r="UA2" s="12"/>
      <c r="UB2" s="12"/>
      <c r="UC2" s="12"/>
      <c r="UD2" s="12"/>
      <c r="UE2" s="12"/>
      <c r="UF2" s="12"/>
      <c r="UG2" s="12"/>
      <c r="UH2" s="12"/>
      <c r="UI2" s="12"/>
      <c r="UJ2" s="12"/>
      <c r="UK2" s="12"/>
      <c r="UL2" s="12"/>
      <c r="UM2" s="12"/>
      <c r="UN2" s="12"/>
      <c r="UO2" s="12"/>
      <c r="UP2" s="12"/>
      <c r="UQ2" s="12"/>
      <c r="UR2" s="12"/>
      <c r="US2" s="12"/>
      <c r="UT2" s="12"/>
      <c r="UU2" s="12"/>
      <c r="UV2" s="12"/>
      <c r="UW2" s="12"/>
      <c r="UX2" s="12"/>
      <c r="UY2" s="12"/>
      <c r="UZ2" s="12"/>
      <c r="VA2" s="12"/>
      <c r="VB2" s="12"/>
      <c r="VC2" s="12"/>
      <c r="VD2" s="12"/>
      <c r="VE2" s="12"/>
      <c r="VF2" s="12"/>
      <c r="VG2" s="12"/>
      <c r="VH2" s="12"/>
      <c r="VI2" s="12"/>
      <c r="VJ2" s="12"/>
      <c r="VK2" s="12"/>
      <c r="VL2" s="12"/>
      <c r="VM2" s="12"/>
      <c r="VN2" s="12"/>
      <c r="VO2" s="12"/>
      <c r="VP2" s="12"/>
      <c r="VQ2" s="12"/>
      <c r="VR2" s="12"/>
      <c r="VS2" s="12"/>
      <c r="VT2" s="12"/>
      <c r="VU2" s="12"/>
      <c r="VV2" s="12"/>
      <c r="VW2" s="12"/>
      <c r="VX2" s="12"/>
      <c r="VY2" s="12"/>
      <c r="VZ2" s="12"/>
      <c r="WA2" s="12"/>
      <c r="WB2" s="12"/>
      <c r="WC2" s="12"/>
      <c r="WD2" s="12"/>
      <c r="WE2" s="12"/>
      <c r="WF2" s="12"/>
      <c r="WG2" s="12"/>
      <c r="WH2" s="12"/>
      <c r="WI2" s="12"/>
      <c r="WJ2" s="12"/>
      <c r="WK2" s="12"/>
      <c r="WL2" s="12"/>
      <c r="WM2" s="12"/>
      <c r="WN2" s="12"/>
      <c r="WO2" s="12"/>
      <c r="WP2" s="12"/>
      <c r="WQ2" s="12"/>
      <c r="WR2" s="12"/>
      <c r="WS2" s="12"/>
      <c r="WT2" s="12"/>
      <c r="WU2" s="12"/>
      <c r="WV2" s="12"/>
      <c r="WW2" s="12"/>
      <c r="WX2" s="12"/>
      <c r="WY2" s="12"/>
      <c r="WZ2" s="12"/>
      <c r="XA2" s="12"/>
      <c r="XB2" s="12"/>
      <c r="XC2" s="12"/>
      <c r="XD2" s="12"/>
      <c r="XE2" s="12"/>
      <c r="XF2" s="12"/>
      <c r="XG2" s="12"/>
      <c r="XH2" s="12"/>
      <c r="XI2" s="12"/>
      <c r="XJ2" s="12"/>
      <c r="XK2" s="12"/>
      <c r="XL2" s="12"/>
      <c r="XM2" s="12"/>
      <c r="XN2" s="12"/>
      <c r="XO2" s="12"/>
      <c r="XP2" s="12"/>
      <c r="XQ2" s="12"/>
      <c r="XR2" s="12"/>
      <c r="XS2" s="12"/>
      <c r="XT2" s="12"/>
      <c r="XU2" s="12"/>
      <c r="XV2" s="12"/>
      <c r="XW2" s="12"/>
      <c r="XX2" s="12"/>
      <c r="XY2" s="12"/>
      <c r="XZ2" s="12"/>
      <c r="YA2" s="12"/>
      <c r="YB2" s="12"/>
      <c r="YC2" s="12"/>
      <c r="YD2" s="12"/>
      <c r="YE2" s="12"/>
      <c r="YF2" s="12"/>
      <c r="YG2" s="12"/>
      <c r="YH2" s="12"/>
      <c r="YI2" s="12"/>
      <c r="YJ2" s="12"/>
      <c r="YK2" s="12"/>
      <c r="YL2" s="12"/>
      <c r="YM2" s="12"/>
      <c r="YN2" s="12"/>
      <c r="YO2" s="12"/>
      <c r="YP2" s="12"/>
      <c r="YQ2" s="12"/>
      <c r="YR2" s="12"/>
      <c r="YS2" s="12"/>
      <c r="YT2" s="12"/>
      <c r="YU2" s="12"/>
      <c r="YV2" s="12"/>
      <c r="YW2" s="12"/>
      <c r="YX2" s="12"/>
      <c r="YY2" s="12"/>
      <c r="YZ2" s="12"/>
      <c r="ZA2" s="12"/>
      <c r="ZB2" s="12"/>
      <c r="ZC2" s="12"/>
      <c r="ZD2" s="12"/>
      <c r="ZE2" s="12"/>
      <c r="ZF2" s="12"/>
      <c r="ZG2" s="12"/>
      <c r="ZH2" s="12"/>
      <c r="ZI2" s="12"/>
      <c r="ZJ2" s="12"/>
      <c r="ZK2" s="12"/>
      <c r="ZL2" s="12"/>
      <c r="ZM2" s="12"/>
      <c r="ZN2" s="12"/>
      <c r="ZO2" s="12"/>
      <c r="ZP2" s="12"/>
      <c r="ZQ2" s="12"/>
      <c r="ZR2" s="12"/>
      <c r="ZS2" s="12"/>
      <c r="ZT2" s="12"/>
      <c r="ZU2" s="12"/>
      <c r="ZV2" s="12"/>
      <c r="ZW2" s="12"/>
      <c r="ZX2" s="12"/>
    </row>
    <row r="3" spans="1:700" x14ac:dyDescent="0.25">
      <c r="A3" s="23" t="s">
        <v>148</v>
      </c>
      <c r="B3" s="24"/>
      <c r="C3" s="25">
        <f>IFERROR(AVERAGEIFS('FTE Calculator'!$AH:$AH, 'FTE Calculator'!$A:$A, C$1), 0)</f>
        <v>8</v>
      </c>
      <c r="D3" s="25">
        <f>IFERROR(AVERAGEIFS('FTE Calculator'!$AH:$AH, 'FTE Calculator'!$A:$A, D$1), 0)</f>
        <v>8</v>
      </c>
      <c r="E3" s="25">
        <f>IFERROR(AVERAGEIFS('FTE Calculator'!$AH:$AH, 'FTE Calculator'!$A:$A, E$1), 0)</f>
        <v>10</v>
      </c>
      <c r="F3" s="25">
        <f>IFERROR(AVERAGEIFS('FTE Calculator'!$AH:$AH, 'FTE Calculator'!$A:$A, F$1), 0)</f>
        <v>8</v>
      </c>
      <c r="G3" s="25">
        <f>IFERROR(AVERAGEIFS('FTE Calculator'!$AH:$AH, 'FTE Calculator'!$A:$A, G$1), 0)</f>
        <v>9</v>
      </c>
      <c r="H3" s="25">
        <f>IFERROR(AVERAGEIFS('FTE Calculator'!$AH:$AH, 'FTE Calculator'!$A:$A, H$1), 0)</f>
        <v>9</v>
      </c>
      <c r="I3" s="25">
        <f>IFERROR(AVERAGEIFS('FTE Calculator'!$AH:$AH, 'FTE Calculator'!$A:$A, I$1), 0)</f>
        <v>8</v>
      </c>
      <c r="J3" s="25">
        <f>IFERROR(AVERAGEIFS('FTE Calculator'!$AH:$AH, 'FTE Calculator'!$A:$A, J$1), 0)</f>
        <v>10</v>
      </c>
      <c r="K3" s="25">
        <f>IFERROR(AVERAGEIFS('FTE Calculator'!$AH:$AH, 'FTE Calculator'!$A:$A, K$1), 0)</f>
        <v>8</v>
      </c>
      <c r="L3" s="25">
        <f>IFERROR(AVERAGEIFS('FTE Calculator'!$AH:$AH, 'FTE Calculator'!$A:$A, L$1), 0)</f>
        <v>8</v>
      </c>
      <c r="M3" s="25">
        <f>IFERROR(AVERAGEIFS('FTE Calculator'!$AH:$AH, 'FTE Calculator'!$A:$A, M$1), 0)</f>
        <v>10</v>
      </c>
      <c r="N3" s="25">
        <f>IFERROR(AVERAGEIFS('FTE Calculator'!$AH:$AH, 'FTE Calculator'!$A:$A, N$1), 0)</f>
        <v>8</v>
      </c>
      <c r="O3" s="26">
        <f>AVERAGE(C3:N3)</f>
        <v>8.6666666666666661</v>
      </c>
      <c r="P3" s="25">
        <f>IFERROR(AVERAGEIFS('FTE Calculator'!$AH:$AH, 'FTE Calculator'!$A:$A, P$1), 0)</f>
        <v>9</v>
      </c>
      <c r="Q3" s="25">
        <f>IFERROR(AVERAGEIFS('FTE Calculator'!$AH:$AH, 'FTE Calculator'!$A:$A, Q$1), 0)</f>
        <v>8</v>
      </c>
      <c r="R3" s="25">
        <f>IFERROR(AVERAGEIFS('FTE Calculator'!$AH:$AH, 'FTE Calculator'!$A:$A, R$1), 0)</f>
        <v>9</v>
      </c>
      <c r="S3" s="25">
        <f>IFERROR(AVERAGEIFS('FTE Calculator'!$AH:$AH, 'FTE Calculator'!$A:$A, S$1), 0)</f>
        <v>8</v>
      </c>
      <c r="T3" s="25">
        <f>IFERROR(AVERAGEIFS('FTE Calculator'!$AH:$AH, 'FTE Calculator'!$A:$A, T$1), 0)</f>
        <v>10</v>
      </c>
      <c r="U3" s="25">
        <f>IFERROR(AVERAGEIFS('FTE Calculator'!$AH:$AH, 'FTE Calculator'!$A:$A, U$1), 0)</f>
        <v>8</v>
      </c>
      <c r="V3" s="25">
        <f>IFERROR(AVERAGEIFS('FTE Calculator'!$AH:$AH, 'FTE Calculator'!$A:$A, V$1), 0)</f>
        <v>8</v>
      </c>
      <c r="W3" s="25">
        <f>IFERROR(AVERAGEIFS('FTE Calculator'!$AH:$AH, 'FTE Calculator'!$A:$A, W$1), 0)</f>
        <v>10</v>
      </c>
      <c r="X3" s="25">
        <f>IFERROR(AVERAGEIFS('FTE Calculator'!$AH:$AH, 'FTE Calculator'!$A:$A, X$1), 0)</f>
        <v>8</v>
      </c>
      <c r="Y3" s="25">
        <f>IFERROR(AVERAGEIFS('FTE Calculator'!$AH:$AH, 'FTE Calculator'!$A:$A, Y$1), 0)</f>
        <v>9</v>
      </c>
      <c r="Z3" s="25">
        <f>IFERROR(AVERAGEIFS('FTE Calculator'!$AH:$AH, 'FTE Calculator'!$A:$A, Z$1), 0)</f>
        <v>9</v>
      </c>
      <c r="AA3" s="25">
        <f>IFERROR(AVERAGEIFS('FTE Calculator'!$AH:$AH, 'FTE Calculator'!$A:$A, AA$1), 0)</f>
        <v>8</v>
      </c>
      <c r="AB3" s="26">
        <f>AVERAGE(P3:AA3)</f>
        <v>8.6666666666666661</v>
      </c>
      <c r="AC3" s="25">
        <f>IFERROR(AVERAGEIFS('FTE Calculator'!$AH:$AH, 'FTE Calculator'!$A:$A, AC$1), 0)</f>
        <v>10</v>
      </c>
      <c r="AD3" s="25">
        <f>IFERROR(AVERAGEIFS('FTE Calculator'!$AH:$AH, 'FTE Calculator'!$A:$A, AD$1), 0)</f>
        <v>8</v>
      </c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12"/>
      <c r="MP3" s="12"/>
      <c r="MQ3" s="12"/>
      <c r="MR3" s="12"/>
      <c r="MS3" s="12"/>
      <c r="MT3" s="12"/>
      <c r="MU3" s="12"/>
      <c r="MV3" s="12"/>
      <c r="MW3" s="12"/>
      <c r="MX3" s="12"/>
      <c r="MY3" s="12"/>
      <c r="MZ3" s="12"/>
      <c r="NA3" s="12"/>
      <c r="NB3" s="12"/>
      <c r="NC3" s="12"/>
      <c r="ND3" s="12"/>
      <c r="NE3" s="12"/>
      <c r="NF3" s="12"/>
      <c r="NG3" s="12"/>
      <c r="NH3" s="12"/>
      <c r="NI3" s="12"/>
      <c r="NJ3" s="12"/>
      <c r="NK3" s="12"/>
      <c r="NL3" s="12"/>
      <c r="NM3" s="12"/>
      <c r="NN3" s="12"/>
      <c r="NO3" s="12"/>
      <c r="NP3" s="12"/>
      <c r="NQ3" s="12"/>
      <c r="NR3" s="12"/>
      <c r="NS3" s="12"/>
      <c r="NT3" s="12"/>
      <c r="NU3" s="12"/>
      <c r="NV3" s="12"/>
      <c r="NW3" s="12"/>
      <c r="NX3" s="12"/>
      <c r="NY3" s="12"/>
      <c r="NZ3" s="12"/>
      <c r="OA3" s="12"/>
      <c r="OB3" s="12"/>
      <c r="OC3" s="12"/>
      <c r="OD3" s="12"/>
      <c r="OE3" s="12"/>
      <c r="OF3" s="12"/>
      <c r="OG3" s="12"/>
      <c r="OH3" s="12"/>
      <c r="OI3" s="12"/>
      <c r="OJ3" s="12"/>
      <c r="OK3" s="12"/>
      <c r="OL3" s="12"/>
      <c r="OM3" s="12"/>
      <c r="ON3" s="12"/>
      <c r="OO3" s="12"/>
      <c r="OP3" s="12"/>
      <c r="OQ3" s="12"/>
      <c r="OR3" s="12"/>
      <c r="OS3" s="12"/>
      <c r="OT3" s="12"/>
      <c r="OU3" s="12"/>
      <c r="OV3" s="12"/>
      <c r="OW3" s="12"/>
      <c r="OX3" s="12"/>
      <c r="OY3" s="12"/>
      <c r="OZ3" s="12"/>
      <c r="PA3" s="12"/>
      <c r="PB3" s="12"/>
      <c r="PC3" s="12"/>
      <c r="PD3" s="12"/>
      <c r="PE3" s="12"/>
      <c r="PF3" s="12"/>
      <c r="PG3" s="12"/>
      <c r="PH3" s="12"/>
      <c r="PI3" s="12"/>
      <c r="PJ3" s="12"/>
      <c r="PK3" s="12"/>
      <c r="PL3" s="12"/>
      <c r="PM3" s="12"/>
      <c r="PN3" s="12"/>
      <c r="PO3" s="12"/>
      <c r="PP3" s="12"/>
      <c r="PQ3" s="12"/>
      <c r="PR3" s="12"/>
      <c r="PS3" s="12"/>
      <c r="PT3" s="12"/>
      <c r="PU3" s="12"/>
      <c r="PV3" s="12"/>
      <c r="PW3" s="12"/>
      <c r="PX3" s="12"/>
      <c r="PY3" s="12"/>
      <c r="PZ3" s="12"/>
      <c r="QA3" s="12"/>
      <c r="QB3" s="12"/>
      <c r="QC3" s="12"/>
      <c r="QD3" s="12"/>
      <c r="QE3" s="12"/>
      <c r="QF3" s="12"/>
      <c r="QG3" s="12"/>
      <c r="QH3" s="12"/>
      <c r="QI3" s="12"/>
      <c r="QJ3" s="12"/>
      <c r="QK3" s="12"/>
      <c r="QL3" s="12"/>
      <c r="QM3" s="12"/>
      <c r="QN3" s="12"/>
      <c r="QO3" s="12"/>
      <c r="QP3" s="12"/>
      <c r="QQ3" s="12"/>
      <c r="QR3" s="12"/>
      <c r="QS3" s="12"/>
      <c r="QT3" s="12"/>
      <c r="QU3" s="12"/>
      <c r="QV3" s="12"/>
      <c r="QW3" s="12"/>
      <c r="QX3" s="12"/>
      <c r="QY3" s="12"/>
      <c r="QZ3" s="12"/>
      <c r="RA3" s="12"/>
      <c r="RB3" s="12"/>
      <c r="RC3" s="12"/>
      <c r="RD3" s="12"/>
      <c r="RE3" s="12"/>
      <c r="RF3" s="12"/>
      <c r="RG3" s="12"/>
      <c r="RH3" s="12"/>
      <c r="RI3" s="12"/>
      <c r="RJ3" s="12"/>
      <c r="RK3" s="12"/>
      <c r="RL3" s="12"/>
      <c r="RM3" s="12"/>
      <c r="RN3" s="12"/>
      <c r="RO3" s="12"/>
      <c r="RP3" s="12"/>
      <c r="RQ3" s="12"/>
      <c r="RR3" s="12"/>
      <c r="RS3" s="12"/>
      <c r="RT3" s="12"/>
      <c r="RU3" s="12"/>
      <c r="RV3" s="12"/>
      <c r="RW3" s="12"/>
      <c r="RX3" s="12"/>
      <c r="RY3" s="12"/>
      <c r="RZ3" s="12"/>
      <c r="SA3" s="12"/>
      <c r="SB3" s="12"/>
      <c r="SC3" s="12"/>
      <c r="SD3" s="12"/>
      <c r="SE3" s="12"/>
      <c r="SF3" s="12"/>
      <c r="SG3" s="12"/>
      <c r="SH3" s="12"/>
      <c r="SI3" s="12"/>
      <c r="SJ3" s="12"/>
      <c r="SK3" s="12"/>
      <c r="SL3" s="12"/>
      <c r="SM3" s="12"/>
      <c r="SN3" s="12"/>
      <c r="SO3" s="12"/>
      <c r="SP3" s="12"/>
      <c r="SQ3" s="12"/>
      <c r="SR3" s="12"/>
      <c r="SS3" s="12"/>
      <c r="ST3" s="12"/>
      <c r="SU3" s="12"/>
      <c r="SV3" s="12"/>
      <c r="SW3" s="12"/>
      <c r="SX3" s="12"/>
      <c r="SY3" s="12"/>
      <c r="SZ3" s="12"/>
      <c r="TA3" s="12"/>
      <c r="TB3" s="12"/>
      <c r="TC3" s="12"/>
      <c r="TD3" s="12"/>
      <c r="TE3" s="12"/>
      <c r="TF3" s="12"/>
      <c r="TG3" s="12"/>
      <c r="TH3" s="12"/>
      <c r="TI3" s="12"/>
      <c r="TJ3" s="12"/>
      <c r="TK3" s="12"/>
      <c r="TL3" s="12"/>
      <c r="TM3" s="12"/>
      <c r="TN3" s="12"/>
      <c r="TO3" s="12"/>
      <c r="TP3" s="12"/>
      <c r="TQ3" s="12"/>
      <c r="TR3" s="12"/>
      <c r="TS3" s="12"/>
      <c r="TT3" s="12"/>
      <c r="TU3" s="12"/>
      <c r="TV3" s="12"/>
      <c r="TW3" s="12"/>
      <c r="TX3" s="12"/>
      <c r="TY3" s="12"/>
      <c r="TZ3" s="12"/>
      <c r="UA3" s="12"/>
      <c r="UB3" s="12"/>
      <c r="UC3" s="12"/>
      <c r="UD3" s="12"/>
      <c r="UE3" s="12"/>
      <c r="UF3" s="12"/>
      <c r="UG3" s="12"/>
      <c r="UH3" s="12"/>
      <c r="UI3" s="12"/>
      <c r="UJ3" s="12"/>
      <c r="UK3" s="12"/>
      <c r="UL3" s="12"/>
      <c r="UM3" s="12"/>
      <c r="UN3" s="12"/>
      <c r="UO3" s="12"/>
      <c r="UP3" s="12"/>
      <c r="UQ3" s="12"/>
      <c r="UR3" s="12"/>
      <c r="US3" s="12"/>
      <c r="UT3" s="12"/>
      <c r="UU3" s="12"/>
      <c r="UV3" s="12"/>
      <c r="UW3" s="12"/>
      <c r="UX3" s="12"/>
      <c r="UY3" s="12"/>
      <c r="UZ3" s="12"/>
      <c r="VA3" s="12"/>
      <c r="VB3" s="12"/>
      <c r="VC3" s="12"/>
      <c r="VD3" s="12"/>
      <c r="VE3" s="12"/>
      <c r="VF3" s="12"/>
      <c r="VG3" s="12"/>
      <c r="VH3" s="12"/>
      <c r="VI3" s="12"/>
      <c r="VJ3" s="12"/>
      <c r="VK3" s="12"/>
      <c r="VL3" s="12"/>
      <c r="VM3" s="12"/>
      <c r="VN3" s="12"/>
      <c r="VO3" s="12"/>
      <c r="VP3" s="12"/>
      <c r="VQ3" s="12"/>
      <c r="VR3" s="12"/>
      <c r="VS3" s="12"/>
      <c r="VT3" s="12"/>
      <c r="VU3" s="12"/>
      <c r="VV3" s="12"/>
      <c r="VW3" s="12"/>
      <c r="VX3" s="12"/>
      <c r="VY3" s="12"/>
      <c r="VZ3" s="12"/>
      <c r="WA3" s="12"/>
      <c r="WB3" s="12"/>
      <c r="WC3" s="12"/>
      <c r="WD3" s="12"/>
      <c r="WE3" s="12"/>
      <c r="WF3" s="12"/>
      <c r="WG3" s="12"/>
      <c r="WH3" s="12"/>
      <c r="WI3" s="12"/>
      <c r="WJ3" s="12"/>
      <c r="WK3" s="12"/>
      <c r="WL3" s="12"/>
      <c r="WM3" s="12"/>
      <c r="WN3" s="12"/>
      <c r="WO3" s="12"/>
      <c r="WP3" s="12"/>
      <c r="WQ3" s="12"/>
      <c r="WR3" s="12"/>
      <c r="WS3" s="12"/>
      <c r="WT3" s="12"/>
      <c r="WU3" s="12"/>
      <c r="WV3" s="12"/>
      <c r="WW3" s="12"/>
      <c r="WX3" s="12"/>
      <c r="WY3" s="12"/>
      <c r="WZ3" s="12"/>
      <c r="XA3" s="12"/>
      <c r="XB3" s="12"/>
      <c r="XC3" s="12"/>
      <c r="XD3" s="12"/>
      <c r="XE3" s="12"/>
      <c r="XF3" s="12"/>
      <c r="XG3" s="12"/>
      <c r="XH3" s="12"/>
      <c r="XI3" s="12"/>
      <c r="XJ3" s="12"/>
      <c r="XK3" s="12"/>
      <c r="XL3" s="12"/>
      <c r="XM3" s="12"/>
      <c r="XN3" s="12"/>
      <c r="XO3" s="12"/>
      <c r="XP3" s="12"/>
      <c r="XQ3" s="12"/>
      <c r="XR3" s="12"/>
      <c r="XS3" s="12"/>
      <c r="XT3" s="12"/>
      <c r="XU3" s="12"/>
      <c r="XV3" s="12"/>
      <c r="XW3" s="12"/>
      <c r="XX3" s="12"/>
      <c r="XY3" s="12"/>
      <c r="XZ3" s="12"/>
      <c r="YA3" s="12"/>
      <c r="YB3" s="12"/>
      <c r="YC3" s="12"/>
      <c r="YD3" s="12"/>
      <c r="YE3" s="12"/>
      <c r="YF3" s="12"/>
      <c r="YG3" s="12"/>
      <c r="YH3" s="12"/>
      <c r="YI3" s="12"/>
      <c r="YJ3" s="12"/>
      <c r="YK3" s="12"/>
      <c r="YL3" s="12"/>
      <c r="YM3" s="12"/>
      <c r="YN3" s="12"/>
      <c r="YO3" s="12"/>
      <c r="YP3" s="12"/>
      <c r="YQ3" s="12"/>
      <c r="YR3" s="12"/>
      <c r="YS3" s="12"/>
      <c r="YT3" s="12"/>
      <c r="YU3" s="12"/>
      <c r="YV3" s="12"/>
      <c r="YW3" s="12"/>
      <c r="YX3" s="12"/>
      <c r="YY3" s="12"/>
      <c r="YZ3" s="12"/>
      <c r="ZA3" s="12"/>
      <c r="ZB3" s="12"/>
      <c r="ZC3" s="12"/>
      <c r="ZD3" s="12"/>
      <c r="ZE3" s="12"/>
      <c r="ZF3" s="12"/>
      <c r="ZG3" s="12"/>
      <c r="ZH3" s="12"/>
      <c r="ZI3" s="12"/>
      <c r="ZJ3" s="12"/>
      <c r="ZK3" s="12"/>
      <c r="ZL3" s="12"/>
      <c r="ZM3" s="12"/>
      <c r="ZN3" s="12"/>
      <c r="ZO3" s="12"/>
      <c r="ZP3" s="12"/>
      <c r="ZQ3" s="12"/>
      <c r="ZR3" s="12"/>
      <c r="ZS3" s="12"/>
      <c r="ZT3" s="12"/>
      <c r="ZU3" s="12"/>
      <c r="ZV3" s="12"/>
      <c r="ZW3" s="12"/>
      <c r="ZX3" s="12"/>
    </row>
    <row r="4" spans="1:700" x14ac:dyDescent="0.25">
      <c r="A4" s="17" t="s">
        <v>149</v>
      </c>
      <c r="B4" s="18"/>
      <c r="C4" s="20">
        <v>17</v>
      </c>
      <c r="D4" s="20">
        <v>17</v>
      </c>
      <c r="E4" s="20">
        <v>17</v>
      </c>
      <c r="F4" s="20">
        <v>17</v>
      </c>
      <c r="G4" s="20">
        <v>17</v>
      </c>
      <c r="H4" s="20">
        <v>17</v>
      </c>
      <c r="I4" s="20">
        <v>17</v>
      </c>
      <c r="J4" s="20">
        <v>17</v>
      </c>
      <c r="K4" s="20">
        <v>17</v>
      </c>
      <c r="L4" s="20">
        <v>17</v>
      </c>
      <c r="M4" s="20">
        <v>17</v>
      </c>
      <c r="N4" s="20">
        <v>17</v>
      </c>
      <c r="O4" s="28">
        <f>AVERAGE(C4:N4)</f>
        <v>17</v>
      </c>
      <c r="P4" s="20">
        <v>17</v>
      </c>
      <c r="Q4" s="20">
        <v>17</v>
      </c>
      <c r="R4" s="20">
        <v>17</v>
      </c>
      <c r="S4" s="20">
        <v>17</v>
      </c>
      <c r="T4" s="20">
        <v>17</v>
      </c>
      <c r="U4" s="20">
        <v>17</v>
      </c>
      <c r="V4" s="20">
        <v>17</v>
      </c>
      <c r="W4" s="20">
        <v>17</v>
      </c>
      <c r="X4" s="20">
        <v>17</v>
      </c>
      <c r="Y4" s="20">
        <v>17</v>
      </c>
      <c r="Z4" s="20">
        <v>17</v>
      </c>
      <c r="AA4" s="20">
        <v>17</v>
      </c>
      <c r="AB4" s="28">
        <f>AVERAGE(P4:AA4)</f>
        <v>17</v>
      </c>
      <c r="AC4" s="20">
        <v>17</v>
      </c>
      <c r="AD4" s="20">
        <v>17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</row>
    <row r="5" spans="1:700" x14ac:dyDescent="0.25">
      <c r="A5" s="23" t="s">
        <v>150</v>
      </c>
      <c r="B5" s="24"/>
      <c r="C5" s="27">
        <v>14.5</v>
      </c>
      <c r="D5" s="27">
        <v>14.5</v>
      </c>
      <c r="E5" s="27">
        <v>14.5</v>
      </c>
      <c r="F5" s="27">
        <v>14.5</v>
      </c>
      <c r="G5" s="27">
        <v>14.5</v>
      </c>
      <c r="H5" s="27">
        <v>14.5</v>
      </c>
      <c r="I5" s="27">
        <v>14.5</v>
      </c>
      <c r="J5" s="27">
        <v>14.5</v>
      </c>
      <c r="K5" s="27">
        <v>14.5</v>
      </c>
      <c r="L5" s="27">
        <v>14.5</v>
      </c>
      <c r="M5" s="27">
        <v>14.5</v>
      </c>
      <c r="N5" s="27">
        <v>14.5</v>
      </c>
      <c r="O5" s="28">
        <f>AVERAGE(C5:N5)</f>
        <v>14.5</v>
      </c>
      <c r="P5" s="27">
        <v>14.5</v>
      </c>
      <c r="Q5" s="27">
        <v>14.5</v>
      </c>
      <c r="R5" s="27">
        <v>14.5</v>
      </c>
      <c r="S5" s="27">
        <v>14.5</v>
      </c>
      <c r="T5" s="27">
        <v>14.5</v>
      </c>
      <c r="U5" s="27">
        <v>14.5</v>
      </c>
      <c r="V5" s="27">
        <v>14.5</v>
      </c>
      <c r="W5" s="27">
        <v>14.5</v>
      </c>
      <c r="X5" s="27">
        <v>14.5</v>
      </c>
      <c r="Y5" s="27">
        <v>14.5</v>
      </c>
      <c r="Z5" s="27">
        <v>14.5</v>
      </c>
      <c r="AA5" s="27">
        <v>14.5</v>
      </c>
      <c r="AB5" s="28">
        <f>AVERAGE(P5:AA5)</f>
        <v>14.5</v>
      </c>
      <c r="AC5" s="27">
        <v>14.5</v>
      </c>
      <c r="AD5" s="27">
        <v>14.5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</row>
    <row r="6" spans="1:700" x14ac:dyDescent="0.25">
      <c r="A6" s="16" t="s">
        <v>139</v>
      </c>
      <c r="B6" s="16"/>
      <c r="C6" s="16">
        <v>45658</v>
      </c>
      <c r="D6" s="16">
        <v>45689</v>
      </c>
      <c r="E6" s="16">
        <v>45717</v>
      </c>
      <c r="F6" s="16">
        <v>45748</v>
      </c>
      <c r="G6" s="16">
        <v>45778</v>
      </c>
      <c r="H6" s="16">
        <v>45809</v>
      </c>
      <c r="I6" s="16">
        <v>45839</v>
      </c>
      <c r="J6" s="16">
        <v>45870</v>
      </c>
      <c r="K6" s="16">
        <v>45901</v>
      </c>
      <c r="L6" s="16">
        <v>45931</v>
      </c>
      <c r="M6" s="16">
        <v>45962</v>
      </c>
      <c r="N6" s="16">
        <v>45992</v>
      </c>
      <c r="O6" s="34" t="s">
        <v>137</v>
      </c>
      <c r="P6" s="16">
        <v>46023</v>
      </c>
      <c r="Q6" s="16">
        <v>46054</v>
      </c>
      <c r="R6" s="16">
        <v>46082</v>
      </c>
      <c r="S6" s="16">
        <v>46113</v>
      </c>
      <c r="T6" s="16">
        <v>46143</v>
      </c>
      <c r="U6" s="16">
        <v>46174</v>
      </c>
      <c r="V6" s="16">
        <v>46204</v>
      </c>
      <c r="W6" s="16">
        <v>46235</v>
      </c>
      <c r="X6" s="16">
        <v>46266</v>
      </c>
      <c r="Y6" s="16">
        <v>46296</v>
      </c>
      <c r="Z6" s="16">
        <v>46327</v>
      </c>
      <c r="AA6" s="16">
        <v>46357</v>
      </c>
      <c r="AB6" s="34" t="s">
        <v>138</v>
      </c>
      <c r="AC6" s="16">
        <v>46388</v>
      </c>
      <c r="AD6" s="16">
        <v>46419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</row>
    <row r="7" spans="1:700" x14ac:dyDescent="0.25">
      <c r="A7" s="23" t="s">
        <v>86</v>
      </c>
      <c r="B7" s="24"/>
      <c r="C7" s="27">
        <f>COUNTIFS(Workday!$A:$A, C$1, Workday!$E:$E, "Associate, Technical Customer Care", Workday!$B:$B, "&lt;&gt;*5002584*")+(COUNTIFS(Workday!$A:$A, C$1, Workday!$E:$E, "Sr Associate, Technical Customer Care", Workday!$B:$B, "&lt;&gt;*5002584*") * 0.25)</f>
        <v>8</v>
      </c>
      <c r="D7" s="27">
        <f>IF((COUNTIFS(Workday!$A:$A, D$1, Workday!$E:$E, "Associate, Technical Customer Care", Workday!$B:$B, "&lt;&gt;*5002584*")+(COUNTIFS(Workday!$A:$A, D$1, Workday!$E:$E, "Sr Associate, Technical Customer Care", Workday!$B:$B, "&lt;&gt;*5002584*") * 0.25)) &gt; 0, COUNTIFS(Workday!$A:$A, D$1, Workday!$E:$E, "Associate, Technical Customer Care", Workday!$B:$B, "&lt;&gt;*5002584*")+(COUNTIFS(Workday!$A:$A, D$1, Workday!$E:$E, "Sr Associate, Technical Customer Care", Workday!$B:$B, "&lt;&gt;*5002584*") * 0.25), C7)</f>
        <v>8</v>
      </c>
      <c r="E7" s="27">
        <f>IF((COUNTIFS(Workday!$A:$A, E$1, Workday!$E:$E, "Associate, Technical Customer Care", Workday!$B:$B, "&lt;&gt;*5002584*")+(COUNTIFS(Workday!$A:$A, E$1, Workday!$E:$E, "Sr Associate, Technical Customer Care", Workday!$B:$B, "&lt;&gt;*5002584*") * 0.25)) &gt; 0, COUNTIFS(Workday!$A:$A, E$1, Workday!$E:$E, "Associate, Technical Customer Care", Workday!$B:$B, "&lt;&gt;*5002584*")+(COUNTIFS(Workday!$A:$A, E$1, Workday!$E:$E, "Sr Associate, Technical Customer Care", Workday!$B:$B, "&lt;&gt;*5002584*") * 0.25), D7)</f>
        <v>8</v>
      </c>
      <c r="F7" s="27">
        <f>IF((COUNTIFS(Workday!$A:$A, F$1, Workday!$E:$E, "Associate, Technical Customer Care", Workday!$B:$B, "&lt;&gt;*5002584*")+(COUNTIFS(Workday!$A:$A, F$1, Workday!$E:$E, "Sr Associate, Technical Customer Care", Workday!$B:$B, "&lt;&gt;*5002584*") * 0.25)) &gt; 0, COUNTIFS(Workday!$A:$A, F$1, Workday!$E:$E, "Associate, Technical Customer Care", Workday!$B:$B, "&lt;&gt;*5002584*")+(COUNTIFS(Workday!$A:$A, F$1, Workday!$E:$E, "Sr Associate, Technical Customer Care", Workday!$B:$B, "&lt;&gt;*5002584*") * 0.25), E7)</f>
        <v>8</v>
      </c>
      <c r="G7" s="27">
        <f>IF((COUNTIFS(Workday!$A:$A, G$1, Workday!$E:$E, "Associate, Technical Customer Care", Workday!$B:$B, "&lt;&gt;*5002584*")+(COUNTIFS(Workday!$A:$A, G$1, Workday!$E:$E, "Sr Associate, Technical Customer Care", Workday!$B:$B, "&lt;&gt;*5002584*") * 0.25)) &gt; 0, COUNTIFS(Workday!$A:$A, G$1, Workday!$E:$E, "Associate, Technical Customer Care", Workday!$B:$B, "&lt;&gt;*5002584*")+(COUNTIFS(Workday!$A:$A, G$1, Workday!$E:$E, "Sr Associate, Technical Customer Care", Workday!$B:$B, "&lt;&gt;*5002584*") * 0.25), F7)</f>
        <v>7</v>
      </c>
      <c r="H7" s="27">
        <f>IF((COUNTIFS(Workday!$A:$A, H$1, Workday!$E:$E, "Associate, Technical Customer Care", Workday!$B:$B, "&lt;&gt;*5002584*")+(COUNTIFS(Workday!$A:$A, H$1, Workday!$E:$E, "Sr Associate, Technical Customer Care", Workday!$B:$B, "&lt;&gt;*5002584*") * 0.25)) &gt; 0, COUNTIFS(Workday!$A:$A, H$1, Workday!$E:$E, "Associate, Technical Customer Care", Workday!$B:$B, "&lt;&gt;*5002584*")+(COUNTIFS(Workday!$A:$A, H$1, Workday!$E:$E, "Sr Associate, Technical Customer Care", Workday!$B:$B, "&lt;&gt;*5002584*") * 0.25), G7)</f>
        <v>5</v>
      </c>
      <c r="I7" s="27">
        <f>IF((COUNTIFS(Workday!$A:$A, I$1, Workday!$E:$E, "Associate, Technical Customer Care", Workday!$B:$B, "&lt;&gt;*5002584*")+(COUNTIFS(Workday!$A:$A, I$1, Workday!$E:$E, "Sr Associate, Technical Customer Care", Workday!$B:$B, "&lt;&gt;*5002584*") * 0.25)) &gt; 0, COUNTIFS(Workday!$A:$A, I$1, Workday!$E:$E, "Associate, Technical Customer Care", Workday!$B:$B, "&lt;&gt;*5002584*")+(COUNTIFS(Workday!$A:$A, I$1, Workday!$E:$E, "Sr Associate, Technical Customer Care", Workday!$B:$B, "&lt;&gt;*5002584*") * 0.25), H7)</f>
        <v>7</v>
      </c>
      <c r="J7" s="27">
        <f>IF((COUNTIFS(Workday!$A:$A, J$1, Workday!$E:$E, "Associate, Technical Customer Care", Workday!$B:$B, "&lt;&gt;*5002584*")+(COUNTIFS(Workday!$A:$A, J$1, Workday!$E:$E, "Sr Associate, Technical Customer Care", Workday!$B:$B, "&lt;&gt;*5002584*") * 0.25)) &gt; 0, COUNTIFS(Workday!$A:$A, J$1, Workday!$E:$E, "Associate, Technical Customer Care", Workday!$B:$B, "&lt;&gt;*5002584*")+(COUNTIFS(Workday!$A:$A, J$1, Workday!$E:$E, "Sr Associate, Technical Customer Care", Workday!$B:$B, "&lt;&gt;*5002584*") * 0.25), I7)</f>
        <v>7</v>
      </c>
      <c r="K7" s="27">
        <f>IF((COUNTIFS(Workday!$A:$A, K$1, Workday!$E:$E, "Associate, Technical Customer Care", Workday!$B:$B, "&lt;&gt;*5002584*")+(COUNTIFS(Workday!$A:$A, K$1, Workday!$E:$E, "Sr Associate, Technical Customer Care", Workday!$B:$B, "&lt;&gt;*5002584*") * 0.25)) &gt; 0, COUNTIFS(Workday!$A:$A, K$1, Workday!$E:$E, "Associate, Technical Customer Care", Workday!$B:$B, "&lt;&gt;*5002584*")+(COUNTIFS(Workday!$A:$A, K$1, Workday!$E:$E, "Sr Associate, Technical Customer Care", Workday!$B:$B, "&lt;&gt;*5002584*") * 0.25), J7)</f>
        <v>7</v>
      </c>
      <c r="L7" s="27">
        <f>IF((COUNTIFS(Workday!$A:$A, L$1, Workday!$E:$E, "Associate, Technical Customer Care", Workday!$B:$B, "&lt;&gt;*5002584*")+(COUNTIFS(Workday!$A:$A, L$1, Workday!$E:$E, "Sr Associate, Technical Customer Care", Workday!$B:$B, "&lt;&gt;*5002584*") * 0.25)) &gt; 0, COUNTIFS(Workday!$A:$A, L$1, Workday!$E:$E, "Associate, Technical Customer Care", Workday!$B:$B, "&lt;&gt;*5002584*")+(COUNTIFS(Workday!$A:$A, L$1, Workday!$E:$E, "Sr Associate, Technical Customer Care", Workday!$B:$B, "&lt;&gt;*5002584*") * 0.25), K7)</f>
        <v>7</v>
      </c>
      <c r="M7" s="27">
        <f>IF((COUNTIFS(Workday!$A:$A, M$1, Workday!$E:$E, "Associate, Technical Customer Care", Workday!$B:$B, "&lt;&gt;*5002584*")+(COUNTIFS(Workday!$A:$A, M$1, Workday!$E:$E, "Sr Associate, Technical Customer Care", Workday!$B:$B, "&lt;&gt;*5002584*") * 0.25)) &gt; 0, COUNTIFS(Workday!$A:$A, M$1, Workday!$E:$E, "Associate, Technical Customer Care", Workday!$B:$B, "&lt;&gt;*5002584*")+(COUNTIFS(Workday!$A:$A, M$1, Workday!$E:$E, "Sr Associate, Technical Customer Care", Workday!$B:$B, "&lt;&gt;*5002584*") * 0.25), L7)</f>
        <v>7</v>
      </c>
      <c r="N7" s="27">
        <f>IF((COUNTIFS(Workday!$A:$A, N$1, Workday!$E:$E, "Associate, Technical Customer Care", Workday!$B:$B, "&lt;&gt;*5002584*")+(COUNTIFS(Workday!$A:$A, N$1, Workday!$E:$E, "Sr Associate, Technical Customer Care", Workday!$B:$B, "&lt;&gt;*5002584*") * 0.25)) &gt; 0, COUNTIFS(Workday!$A:$A, N$1, Workday!$E:$E, "Associate, Technical Customer Care", Workday!$B:$B, "&lt;&gt;*5002584*")+(COUNTIFS(Workday!$A:$A, N$1, Workday!$E:$E, "Sr Associate, Technical Customer Care", Workday!$B:$B, "&lt;&gt;*5002584*") * 0.25), M7)</f>
        <v>7</v>
      </c>
      <c r="O7" s="28">
        <f>AVERAGE(C7:N7)</f>
        <v>7.166666666666667</v>
      </c>
      <c r="P7" s="27">
        <f>IF((COUNTIFS(Workday!$A:$A, P$1, Workday!$E:$E, "Associate, Technical Customer Care", Workday!$B:$B, "&lt;&gt;*5002584*")+(COUNTIFS(Workday!$A:$A, P$1, Workday!$E:$E, "Sr Associate, Technical Customer Care", Workday!$B:$B, "&lt;&gt;*5002584*") * 0.25)) &gt; 0, COUNTIFS(Workday!$A:$A, P$1, Workday!$E:$E, "Associate, Technical Customer Care", Workday!$B:$B, "&lt;&gt;*5002584*")+(COUNTIFS(Workday!$A:$A, P$1, Workday!$E:$E, "Sr Associate, Technical Customer Care", Workday!$B:$B, "&lt;&gt;*5002584*") * 0.25), N7)</f>
        <v>7</v>
      </c>
      <c r="Q7" s="27">
        <f>IF((COUNTIFS(Workday!$A:$A, Q$1, Workday!$E:$E, "Associate, Technical Customer Care", Workday!$B:$B, "&lt;&gt;*5002584*")+(COUNTIFS(Workday!$A:$A, Q$1, Workday!$E:$E, "Sr Associate, Technical Customer Care", Workday!$B:$B, "&lt;&gt;*5002584*") * 0.25)) &gt; 0, COUNTIFS(Workday!$A:$A, Q$1, Workday!$E:$E, "Associate, Technical Customer Care", Workday!$B:$B, "&lt;&gt;*5002584*")+(COUNTIFS(Workday!$A:$A, Q$1, Workday!$E:$E, "Sr Associate, Technical Customer Care", Workday!$B:$B, "&lt;&gt;*5002584*") * 0.25), P7)</f>
        <v>6</v>
      </c>
      <c r="R7" s="27">
        <f>IF((COUNTIFS(Workday!$A:$A, R$1, Workday!$E:$E, "Associate, Technical Customer Care", Workday!$B:$B, "&lt;&gt;*5002584*")+(COUNTIFS(Workday!$A:$A, R$1, Workday!$E:$E, "Sr Associate, Technical Customer Care", Workday!$B:$B, "&lt;&gt;*5002584*") * 0.25)) &gt; 0, COUNTIFS(Workday!$A:$A, R$1, Workday!$E:$E, "Associate, Technical Customer Care", Workday!$B:$B, "&lt;&gt;*5002584*")+(COUNTIFS(Workday!$A:$A, R$1, Workday!$E:$E, "Sr Associate, Technical Customer Care", Workday!$B:$B, "&lt;&gt;*5002584*") * 0.25), Q7)</f>
        <v>7</v>
      </c>
      <c r="S7" s="27">
        <f>IF((COUNTIFS(Workday!$A:$A, S$1, Workday!$E:$E, "Associate, Technical Customer Care", Workday!$B:$B, "&lt;&gt;*5002584*")+(COUNTIFS(Workday!$A:$A, S$1, Workday!$E:$E, "Sr Associate, Technical Customer Care", Workday!$B:$B, "&lt;&gt;*5002584*") * 0.25)) &gt; 0, COUNTIFS(Workday!$A:$A, S$1, Workday!$E:$E, "Associate, Technical Customer Care", Workday!$B:$B, "&lt;&gt;*5002584*")+(COUNTIFS(Workday!$A:$A, S$1, Workday!$E:$E, "Sr Associate, Technical Customer Care", Workday!$B:$B, "&lt;&gt;*5002584*") * 0.25), R7)</f>
        <v>7</v>
      </c>
      <c r="T7" s="27">
        <f>IF((COUNTIFS(Workday!$A:$A, T$1, Workday!$E:$E, "Associate, Technical Customer Care", Workday!$B:$B, "&lt;&gt;*5002584*")+(COUNTIFS(Workday!$A:$A, T$1, Workday!$E:$E, "Sr Associate, Technical Customer Care", Workday!$B:$B, "&lt;&gt;*5002584*") * 0.25)) &gt; 0, COUNTIFS(Workday!$A:$A, T$1, Workday!$E:$E, "Associate, Technical Customer Care", Workday!$B:$B, "&lt;&gt;*5002584*")+(COUNTIFS(Workday!$A:$A, T$1, Workday!$E:$E, "Sr Associate, Technical Customer Care", Workday!$B:$B, "&lt;&gt;*5002584*") * 0.25), S7)</f>
        <v>7</v>
      </c>
      <c r="U7" s="27">
        <f>IF((COUNTIFS(Workday!$A:$A, U$1, Workday!$E:$E, "Associate, Technical Customer Care", Workday!$B:$B, "&lt;&gt;*5002584*")+(COUNTIFS(Workday!$A:$A, U$1, Workday!$E:$E, "Sr Associate, Technical Customer Care", Workday!$B:$B, "&lt;&gt;*5002584*") * 0.25)) &gt; 0, COUNTIFS(Workday!$A:$A, U$1, Workday!$E:$E, "Associate, Technical Customer Care", Workday!$B:$B, "&lt;&gt;*5002584*")+(COUNTIFS(Workday!$A:$A, U$1, Workday!$E:$E, "Sr Associate, Technical Customer Care", Workday!$B:$B, "&lt;&gt;*5002584*") * 0.25), T7)</f>
        <v>7</v>
      </c>
      <c r="V7" s="27">
        <f>IF((COUNTIFS(Workday!$A:$A, V$1, Workday!$E:$E, "Associate, Technical Customer Care", Workday!$B:$B, "&lt;&gt;*5002584*")+(COUNTIFS(Workday!$A:$A, V$1, Workday!$E:$E, "Sr Associate, Technical Customer Care", Workday!$B:$B, "&lt;&gt;*5002584*") * 0.25)) &gt; 0, COUNTIFS(Workday!$A:$A, V$1, Workday!$E:$E, "Associate, Technical Customer Care", Workday!$B:$B, "&lt;&gt;*5002584*")+(COUNTIFS(Workday!$A:$A, V$1, Workday!$E:$E, "Sr Associate, Technical Customer Care", Workday!$B:$B, "&lt;&gt;*5002584*") * 0.25), U7)</f>
        <v>7</v>
      </c>
      <c r="W7" s="27">
        <f>IF((COUNTIFS(Workday!$A:$A, W$1, Workday!$E:$E, "Associate, Technical Customer Care", Workday!$B:$B, "&lt;&gt;*5002584*")+(COUNTIFS(Workday!$A:$A, W$1, Workday!$E:$E, "Sr Associate, Technical Customer Care", Workday!$B:$B, "&lt;&gt;*5002584*") * 0.25)) &gt; 0, COUNTIFS(Workday!$A:$A, W$1, Workday!$E:$E, "Associate, Technical Customer Care", Workday!$B:$B, "&lt;&gt;*5002584*")+(COUNTIFS(Workday!$A:$A, W$1, Workday!$E:$E, "Sr Associate, Technical Customer Care", Workday!$B:$B, "&lt;&gt;*5002584*") * 0.25), V7)</f>
        <v>7</v>
      </c>
      <c r="X7" s="27">
        <f>IF((COUNTIFS(Workday!$A:$A, X$1, Workday!$E:$E, "Associate, Technical Customer Care", Workday!$B:$B, "&lt;&gt;*5002584*")+(COUNTIFS(Workday!$A:$A, X$1, Workday!$E:$E, "Sr Associate, Technical Customer Care", Workday!$B:$B, "&lt;&gt;*5002584*") * 0.25)) &gt; 0, COUNTIFS(Workday!$A:$A, X$1, Workday!$E:$E, "Associate, Technical Customer Care", Workday!$B:$B, "&lt;&gt;*5002584*")+(COUNTIFS(Workday!$A:$A, X$1, Workday!$E:$E, "Sr Associate, Technical Customer Care", Workday!$B:$B, "&lt;&gt;*5002584*") * 0.25), W7)</f>
        <v>7</v>
      </c>
      <c r="Y7" s="27">
        <f>IF((COUNTIFS(Workday!$A:$A, Y$1, Workday!$E:$E, "Associate, Technical Customer Care", Workday!$B:$B, "&lt;&gt;*5002584*")+(COUNTIFS(Workday!$A:$A, Y$1, Workday!$E:$E, "Sr Associate, Technical Customer Care", Workday!$B:$B, "&lt;&gt;*5002584*") * 0.25)) &gt; 0, COUNTIFS(Workday!$A:$A, Y$1, Workday!$E:$E, "Associate, Technical Customer Care", Workday!$B:$B, "&lt;&gt;*5002584*")+(COUNTIFS(Workday!$A:$A, Y$1, Workday!$E:$E, "Sr Associate, Technical Customer Care", Workday!$B:$B, "&lt;&gt;*5002584*") * 0.25), X7)</f>
        <v>7</v>
      </c>
      <c r="Z7" s="27">
        <f>IF((COUNTIFS(Workday!$A:$A, Z$1, Workday!$E:$E, "Associate, Technical Customer Care", Workday!$B:$B, "&lt;&gt;*5002584*")+(COUNTIFS(Workday!$A:$A, Z$1, Workday!$E:$E, "Sr Associate, Technical Customer Care", Workday!$B:$B, "&lt;&gt;*5002584*") * 0.25)) &gt; 0, COUNTIFS(Workday!$A:$A, Z$1, Workday!$E:$E, "Associate, Technical Customer Care", Workday!$B:$B, "&lt;&gt;*5002584*")+(COUNTIFS(Workday!$A:$A, Z$1, Workday!$E:$E, "Sr Associate, Technical Customer Care", Workday!$B:$B, "&lt;&gt;*5002584*") * 0.25), Y7)</f>
        <v>7</v>
      </c>
      <c r="AA7" s="27">
        <f>IF((COUNTIFS(Workday!$A:$A, AA$1, Workday!$E:$E, "Associate, Technical Customer Care", Workday!$B:$B, "&lt;&gt;*5002584*")+(COUNTIFS(Workday!$A:$A, AA$1, Workday!$E:$E, "Sr Associate, Technical Customer Care", Workday!$B:$B, "&lt;&gt;*5002584*") * 0.25)) &gt; 0, COUNTIFS(Workday!$A:$A, AA$1, Workday!$E:$E, "Associate, Technical Customer Care", Workday!$B:$B, "&lt;&gt;*5002584*")+(COUNTIFS(Workday!$A:$A, AA$1, Workday!$E:$E, "Sr Associate, Technical Customer Care", Workday!$B:$B, "&lt;&gt;*5002584*") * 0.25), Z7)</f>
        <v>7</v>
      </c>
      <c r="AB7" s="28">
        <f>AVERAGE(P7:AA7)</f>
        <v>6.916666666666667</v>
      </c>
      <c r="AC7" s="27">
        <f>IF((COUNTIFS(Workday!$A:$A, AC$1, Workday!$E:$E, "Associate, Technical Customer Care", Workday!$B:$B, "&lt;&gt;*5002584*")+(COUNTIFS(Workday!$A:$A, AC$1, Workday!$E:$E, "Sr Associate, Technical Customer Care", Workday!$B:$B, "&lt;&gt;*5002584*") * 0.25)) &gt; 0, COUNTIFS(Workday!$A:$A, AC$1, Workday!$E:$E, "Associate, Technical Customer Care", Workday!$B:$B, "&lt;&gt;*5002584*")+(COUNTIFS(Workday!$A:$A, AC$1, Workday!$E:$E, "Sr Associate, Technical Customer Care", Workday!$B:$B, "&lt;&gt;*5002584*") * 0.25), AA7)</f>
        <v>7</v>
      </c>
      <c r="AD7" s="27">
        <f>IF((COUNTIFS(Workday!$A:$A, AD$1, Workday!$E:$E, "Associate, Technical Customer Care", Workday!$B:$B, "&lt;&gt;*5002584*")+(COUNTIFS(Workday!$A:$A, AD$1, Workday!$E:$E, "Sr Associate, Technical Customer Care", Workday!$B:$B, "&lt;&gt;*5002584*") * 0.25)) &gt; 0, COUNTIFS(Workday!$A:$A, AD$1, Workday!$E:$E, "Associate, Technical Customer Care", Workday!$B:$B, "&lt;&gt;*5002584*")+(COUNTIFS(Workday!$A:$A, AD$1, Workday!$E:$E, "Sr Associate, Technical Customer Care", Workday!$B:$B, "&lt;&gt;*5002584*") * 0.25), AC7)</f>
        <v>7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</row>
    <row r="8" spans="1:700" x14ac:dyDescent="0.25">
      <c r="A8" s="17" t="s">
        <v>87</v>
      </c>
      <c r="B8" s="18"/>
      <c r="C8" s="20">
        <f>SUMIFS(Telus!$B:$B, Telus!$A:$A, C$1)</f>
        <v>6.92</v>
      </c>
      <c r="D8" s="20">
        <f>IF(SUMIFS(Telus!$B:$B, Telus!$A:$A, D$1) &gt; 0, SUMIFS(Telus!$B:$B, Telus!$A:$A, D$1), C8)</f>
        <v>6.39</v>
      </c>
      <c r="E8" s="20">
        <f>IF(SUMIFS(Telus!$B:$B, Telus!$A:$A, E$1) &gt; 0, SUMIFS(Telus!$B:$B, Telus!$A:$A, E$1), D8)</f>
        <v>6.39</v>
      </c>
      <c r="F8" s="20">
        <f>IF(SUMIFS(Telus!$B:$B, Telus!$A:$A, F$1) &gt; 0, SUMIFS(Telus!$B:$B, Telus!$A:$A, F$1), E8)</f>
        <v>6.79</v>
      </c>
      <c r="G8" s="20">
        <f>IF(SUMIFS(Telus!$B:$B, Telus!$A:$A, G$1) &gt; 0, SUMIFS(Telus!$B:$B, Telus!$A:$A, G$1), F8)</f>
        <v>6.79</v>
      </c>
      <c r="H8" s="20">
        <f>IF(SUMIFS(Telus!$B:$B, Telus!$A:$A, H$1) &gt; 0, SUMIFS(Telus!$B:$B, Telus!$A:$A, H$1), G8)</f>
        <v>7.08</v>
      </c>
      <c r="I8" s="20">
        <f>IF(SUMIFS(Telus!$B:$B, Telus!$A:$A, I$1) &gt; 0, SUMIFS(Telus!$B:$B, Telus!$A:$A, I$1), H8)</f>
        <v>7.76</v>
      </c>
      <c r="J8" s="20">
        <f>IF(SUMIFS(Telus!$B:$B, Telus!$A:$A, J$1) &gt; 0, SUMIFS(Telus!$B:$B, Telus!$A:$A, J$1), I8)</f>
        <v>7.76</v>
      </c>
      <c r="K8" s="20">
        <f>IF(SUMIFS(Telus!$B:$B, Telus!$A:$A, K$1) &gt; 0, SUMIFS(Telus!$B:$B, Telus!$A:$A, K$1), J8)</f>
        <v>7.74</v>
      </c>
      <c r="L8" s="20">
        <f>IF(SUMIFS(Telus!$B:$B, Telus!$A:$A, L$1) &gt; 0, SUMIFS(Telus!$B:$B, Telus!$A:$A, L$1), K8)</f>
        <v>7.53</v>
      </c>
      <c r="M8" s="20">
        <f>IF(SUMIFS(Telus!$B:$B, Telus!$A:$A, M$1) &gt; 0, SUMIFS(Telus!$B:$B, Telus!$A:$A, M$1), L8)</f>
        <v>7.53</v>
      </c>
      <c r="N8" s="20">
        <f>IF(SUMIFS(Telus!$B:$B, Telus!$A:$A, N$1) &gt; 0, SUMIFS(Telus!$B:$B, Telus!$A:$A, N$1), M8)</f>
        <v>7.53</v>
      </c>
      <c r="O8" s="28">
        <f>AVERAGE(C8:N8)</f>
        <v>7.1841666666666661</v>
      </c>
      <c r="P8" s="20">
        <f>IF(SUMIFS(Telus!$B:$B, Telus!$A:$A, P$1) &gt; 0, SUMIFS(Telus!$B:$B, Telus!$A:$A, P$1), N8)</f>
        <v>7.53</v>
      </c>
      <c r="Q8" s="20">
        <f>IF(SUMIFS(Telus!$B:$B, Telus!$A:$A, Q$1) &gt; 0, SUMIFS(Telus!$B:$B, Telus!$A:$A, Q$1), P8)</f>
        <v>7.53</v>
      </c>
      <c r="R8" s="20">
        <f>IF(SUMIFS(Telus!$B:$B, Telus!$A:$A, R$1) &gt; 0, SUMIFS(Telus!$B:$B, Telus!$A:$A, R$1), Q8)</f>
        <v>7.53</v>
      </c>
      <c r="S8" s="20">
        <f>IF(SUMIFS(Telus!$B:$B, Telus!$A:$A, S$1) &gt; 0, SUMIFS(Telus!$B:$B, Telus!$A:$A, S$1), R8)</f>
        <v>7.53</v>
      </c>
      <c r="T8" s="20">
        <f>IF(SUMIFS(Telus!$B:$B, Telus!$A:$A, T$1) &gt; 0, SUMIFS(Telus!$B:$B, Telus!$A:$A, T$1), S8)</f>
        <v>7.53</v>
      </c>
      <c r="U8" s="20">
        <f>IF(SUMIFS(Telus!$B:$B, Telus!$A:$A, U$1) &gt; 0, SUMIFS(Telus!$B:$B, Telus!$A:$A, U$1), T8)</f>
        <v>7.53</v>
      </c>
      <c r="V8" s="20">
        <f>IF(SUMIFS(Telus!$B:$B, Telus!$A:$A, V$1) &gt; 0, SUMIFS(Telus!$B:$B, Telus!$A:$A, V$1), U8)</f>
        <v>7.53</v>
      </c>
      <c r="W8" s="20">
        <f>IF(SUMIFS(Telus!$B:$B, Telus!$A:$A, W$1) &gt; 0, SUMIFS(Telus!$B:$B, Telus!$A:$A, W$1), V8)</f>
        <v>7.53</v>
      </c>
      <c r="X8" s="20">
        <f>IF(SUMIFS(Telus!$B:$B, Telus!$A:$A, X$1) &gt; 0, SUMIFS(Telus!$B:$B, Telus!$A:$A, X$1), W8)</f>
        <v>7.53</v>
      </c>
      <c r="Y8" s="20">
        <f>IF(SUMIFS(Telus!$B:$B, Telus!$A:$A, Y$1) &gt; 0, SUMIFS(Telus!$B:$B, Telus!$A:$A, Y$1), X8)</f>
        <v>7.53</v>
      </c>
      <c r="Z8" s="20">
        <f>IF(SUMIFS(Telus!$B:$B, Telus!$A:$A, Z$1) &gt; 0, SUMIFS(Telus!$B:$B, Telus!$A:$A, Z$1), Y8)</f>
        <v>7.53</v>
      </c>
      <c r="AA8" s="20">
        <f>IF(SUMIFS(Telus!$B:$B, Telus!$A:$A, AA$1) &gt; 0, SUMIFS(Telus!$B:$B, Telus!$A:$A, AA$1), Z8)</f>
        <v>7.53</v>
      </c>
      <c r="AB8" s="28">
        <f>AVERAGE(P8:AA8)</f>
        <v>7.53</v>
      </c>
      <c r="AC8" s="20">
        <f>IF(SUMIFS(Telus!$B:$B, Telus!$A:$A, AC$1) &gt; 0, SUMIFS(Telus!$B:$B, Telus!$A:$A, AC$1), AA8)</f>
        <v>7.53</v>
      </c>
      <c r="AD8" s="20">
        <f>IF(SUMIFS(Telus!$B:$B, Telus!$A:$A, AD$1) &gt; 0, SUMIFS(Telus!$B:$B, Telus!$A:$A, AD$1), AC8)</f>
        <v>7.53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</row>
    <row r="9" spans="1:700" x14ac:dyDescent="0.25">
      <c r="A9" s="23" t="s">
        <v>88</v>
      </c>
      <c r="B9" s="24"/>
      <c r="C9" s="27">
        <f t="shared" ref="C9:N9" si="0">C7+C8</f>
        <v>14.92</v>
      </c>
      <c r="D9" s="27">
        <f t="shared" si="0"/>
        <v>14.39</v>
      </c>
      <c r="E9" s="27">
        <f t="shared" si="0"/>
        <v>14.39</v>
      </c>
      <c r="F9" s="27">
        <f t="shared" si="0"/>
        <v>14.79</v>
      </c>
      <c r="G9" s="27">
        <f t="shared" si="0"/>
        <v>13.79</v>
      </c>
      <c r="H9" s="27">
        <f t="shared" si="0"/>
        <v>12.08</v>
      </c>
      <c r="I9" s="27">
        <f t="shared" si="0"/>
        <v>14.76</v>
      </c>
      <c r="J9" s="27">
        <f t="shared" si="0"/>
        <v>14.76</v>
      </c>
      <c r="K9" s="27">
        <f t="shared" si="0"/>
        <v>14.74</v>
      </c>
      <c r="L9" s="27">
        <f t="shared" si="0"/>
        <v>14.530000000000001</v>
      </c>
      <c r="M9" s="27">
        <f t="shared" si="0"/>
        <v>14.530000000000001</v>
      </c>
      <c r="N9" s="27">
        <f t="shared" si="0"/>
        <v>14.530000000000001</v>
      </c>
      <c r="O9" s="28">
        <f>AVERAGE(C9:N9)</f>
        <v>14.350833333333334</v>
      </c>
      <c r="P9" s="27">
        <f t="shared" ref="P9:AA9" si="1">P7+P8</f>
        <v>14.530000000000001</v>
      </c>
      <c r="Q9" s="27">
        <f t="shared" si="1"/>
        <v>13.530000000000001</v>
      </c>
      <c r="R9" s="27">
        <f t="shared" si="1"/>
        <v>14.530000000000001</v>
      </c>
      <c r="S9" s="27">
        <f t="shared" si="1"/>
        <v>14.530000000000001</v>
      </c>
      <c r="T9" s="27">
        <f t="shared" si="1"/>
        <v>14.530000000000001</v>
      </c>
      <c r="U9" s="27">
        <f t="shared" si="1"/>
        <v>14.530000000000001</v>
      </c>
      <c r="V9" s="27">
        <f t="shared" si="1"/>
        <v>14.530000000000001</v>
      </c>
      <c r="W9" s="27">
        <f t="shared" si="1"/>
        <v>14.530000000000001</v>
      </c>
      <c r="X9" s="27">
        <f t="shared" si="1"/>
        <v>14.530000000000001</v>
      </c>
      <c r="Y9" s="27">
        <f t="shared" si="1"/>
        <v>14.530000000000001</v>
      </c>
      <c r="Z9" s="27">
        <f t="shared" si="1"/>
        <v>14.530000000000001</v>
      </c>
      <c r="AA9" s="27">
        <f t="shared" si="1"/>
        <v>14.530000000000001</v>
      </c>
      <c r="AB9" s="28">
        <f>AVERAGE(P9:AA9)</f>
        <v>14.446666666666667</v>
      </c>
      <c r="AC9" s="27">
        <f>AC7+AC8</f>
        <v>14.530000000000001</v>
      </c>
      <c r="AD9" s="27">
        <f>AD7+AD8</f>
        <v>14.530000000000001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</row>
    <row r="10" spans="1:700" x14ac:dyDescent="0.25">
      <c r="A10" s="23"/>
      <c r="B10" s="24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8"/>
      <c r="AC10" s="27"/>
      <c r="AD10" s="27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</row>
    <row r="11" spans="1:700" x14ac:dyDescent="0.25">
      <c r="A11" s="23" t="s">
        <v>143</v>
      </c>
      <c r="B11" s="24"/>
      <c r="C11" s="27">
        <f>IFERROR(((C2*C4)+(C3*C5))/(AVERAGEIFS('FTE Calculator'!$AJ:$AJ,'FTE Calculator'!$A:$A,C$1)*7.5*(1-AVERAGEIFS('FTE Calculator'!$S:$S,'FTE Calculator'!$A:$A,C$1))),0)</f>
        <v>3.8868851602111758</v>
      </c>
      <c r="D11" s="27">
        <f>IFERROR(((D2*D4)+(D3*D5))/(AVERAGEIFS('FTE Calculator'!$AJ:$AJ,'FTE Calculator'!$A:$A,D$1)*7.5*(1-AVERAGEIFS('FTE Calculator'!$S:$S,'FTE Calculator'!$A:$A,D$1))),0)</f>
        <v>3.8638858397365539</v>
      </c>
      <c r="E11" s="27">
        <f>IFERROR(((E2*E4)+(E3*E5))/(AVERAGEIFS('FTE Calculator'!$AJ:$AJ,'FTE Calculator'!$A:$A,E$1)*7.5*(1-AVERAGEIFS('FTE Calculator'!$S:$S,'FTE Calculator'!$A:$A,E$1))),0)</f>
        <v>3.8485529594201382</v>
      </c>
      <c r="F11" s="27">
        <f>IFERROR(((F2*F4)+(F3*F5))/(AVERAGEIFS('FTE Calculator'!$AJ:$AJ,'FTE Calculator'!$A:$A,F$1)*7.5*(1-AVERAGEIFS('FTE Calculator'!$S:$S,'FTE Calculator'!$A:$A,F$1))),0)</f>
        <v>3.5858031467252109</v>
      </c>
      <c r="G11" s="27">
        <f>IFERROR(((G2*G4)+(G3*G5))/(AVERAGEIFS('FTE Calculator'!$AJ:$AJ,'FTE Calculator'!$A:$A,G$1)*7.5*(1-AVERAGEIFS('FTE Calculator'!$S:$S,'FTE Calculator'!$A:$A,G$1))),0)</f>
        <v>3.867719059815657</v>
      </c>
      <c r="H11" s="27">
        <f>IFERROR(((H2*H4)+(H3*H5))/(AVERAGEIFS('FTE Calculator'!$AJ:$AJ,'FTE Calculator'!$A:$A,H$1)*7.5*(1-AVERAGEIFS('FTE Calculator'!$S:$S,'FTE Calculator'!$A:$A,H$1))),0)</f>
        <v>3.9242590559824371</v>
      </c>
      <c r="I11" s="27">
        <f>IFERROR(((I2*I4)+(I3*I5))/(AVERAGEIFS('FTE Calculator'!$AJ:$AJ,'FTE Calculator'!$A:$A,I$1)*7.5*(1-AVERAGEIFS('FTE Calculator'!$S:$S,'FTE Calculator'!$A:$A,I$1))),0)</f>
        <v>3.7102085620197589</v>
      </c>
      <c r="J11" s="27">
        <f>IFERROR(((J2*J4)+(J3*J5))/(AVERAGEIFS('FTE Calculator'!$AJ:$AJ,'FTE Calculator'!$A:$A,J$1)*7.5*(1-AVERAGEIFS('FTE Calculator'!$S:$S,'FTE Calculator'!$A:$A,J$1))),0)</f>
        <v>3.8485529594201382</v>
      </c>
      <c r="K11" s="27">
        <f>IFERROR(((K2*K4)+(K3*K5))/(AVERAGEIFS('FTE Calculator'!$AJ:$AJ,'FTE Calculator'!$A:$A,K$1)*7.5*(1-AVERAGEIFS('FTE Calculator'!$S:$S,'FTE Calculator'!$A:$A,K$1))),0)</f>
        <v>3.7565556775216491</v>
      </c>
      <c r="L11" s="27">
        <f>IFERROR(((L2*L4)+(L3*L5))/(AVERAGEIFS('FTE Calculator'!$AJ:$AJ,'FTE Calculator'!$A:$A,L$1)*7.5*(1-AVERAGEIFS('FTE Calculator'!$S:$S,'FTE Calculator'!$A:$A,L$1))),0)</f>
        <v>3.5488951462797695</v>
      </c>
      <c r="M11" s="27">
        <f>IFERROR(((M2*M4)+(M3*M5))/(AVERAGEIFS('FTE Calculator'!$AJ:$AJ,'FTE Calculator'!$A:$A,M$1)*7.5*(1-AVERAGEIFS('FTE Calculator'!$S:$S,'FTE Calculator'!$A:$A,M$1))),0)</f>
        <v>4.3379273895190469</v>
      </c>
      <c r="N11" s="27">
        <f>IFERROR(((N2*N4)+(N3*N5))/(AVERAGEIFS('FTE Calculator'!$AJ:$AJ,'FTE Calculator'!$A:$A,N$1)*7.5*(1-AVERAGEIFS('FTE Calculator'!$S:$S,'FTE Calculator'!$A:$A,N$1))),0)</f>
        <v>3.8868851602111758</v>
      </c>
      <c r="O11" s="28">
        <f>AVERAGE(C11:N11)</f>
        <v>3.8388441764052259</v>
      </c>
      <c r="P11" s="27">
        <f>IFERROR(((P2*P4)+(P3*P5))/(AVERAGEIFS('FTE Calculator'!$AJ:$AJ,'FTE Calculator'!$A:$A,P$1)*7.5*(1-AVERAGEIFS('FTE Calculator'!$S:$S,'FTE Calculator'!$A:$A,P$1))),0)</f>
        <v>4.0767676767676768</v>
      </c>
      <c r="Q11" s="27">
        <f>IFERROR(((Q2*Q4)+(Q3*Q5))/(AVERAGEIFS('FTE Calculator'!$AJ:$AJ,'FTE Calculator'!$A:$A,Q$1)*7.5*(1-AVERAGEIFS('FTE Calculator'!$S:$S,'FTE Calculator'!$A:$A,Q$1))),0)</f>
        <v>3.8787878787878789</v>
      </c>
      <c r="R11" s="27">
        <f>IFERROR(((R2*R4)+(R3*R5))/(AVERAGEIFS('FTE Calculator'!$AJ:$AJ,'FTE Calculator'!$A:$A,R$1)*7.5*(1-AVERAGEIFS('FTE Calculator'!$S:$S,'FTE Calculator'!$A:$A,R$1))),0)</f>
        <v>3.7061524334251605</v>
      </c>
      <c r="S11" s="27">
        <f>IFERROR(((S2*S4)+(S3*S5))/(AVERAGEIFS('FTE Calculator'!$AJ:$AJ,'FTE Calculator'!$A:$A,S$1)*7.5*(1-AVERAGEIFS('FTE Calculator'!$S:$S,'FTE Calculator'!$A:$A,S$1))),0)</f>
        <v>3.5996326905417813</v>
      </c>
      <c r="T11" s="27">
        <f>IFERROR(((T2*T4)+(T3*T5))/(AVERAGEIFS('FTE Calculator'!$AJ:$AJ,'FTE Calculator'!$A:$A,T$1)*7.5*(1-AVERAGEIFS('FTE Calculator'!$S:$S,'FTE Calculator'!$A:$A,T$1))),0)</f>
        <v>4.0565656565656569</v>
      </c>
      <c r="U11" s="27">
        <f>IFERROR(((U2*U4)+(U3*U5))/(AVERAGEIFS('FTE Calculator'!$AJ:$AJ,'FTE Calculator'!$A:$A,U$1)*7.5*(1-AVERAGEIFS('FTE Calculator'!$S:$S,'FTE Calculator'!$A:$A,U$1))),0)</f>
        <v>3.7710437710437712</v>
      </c>
      <c r="V11" s="27">
        <f>IFERROR(((V2*V4)+(V3*V5))/(AVERAGEIFS('FTE Calculator'!$AJ:$AJ,'FTE Calculator'!$A:$A,V$1)*7.5*(1-AVERAGEIFS('FTE Calculator'!$S:$S,'FTE Calculator'!$A:$A,V$1))),0)</f>
        <v>3.724517906336088</v>
      </c>
      <c r="W11" s="27">
        <f>IFERROR(((W2*W4)+(W3*W5))/(AVERAGEIFS('FTE Calculator'!$AJ:$AJ,'FTE Calculator'!$A:$A,W$1)*7.5*(1-AVERAGEIFS('FTE Calculator'!$S:$S,'FTE Calculator'!$A:$A,W$1))),0)</f>
        <v>3.8633958633958634</v>
      </c>
      <c r="X11" s="27">
        <f>IFERROR(((X2*X4)+(X3*X5))/(AVERAGEIFS('FTE Calculator'!$AJ:$AJ,'FTE Calculator'!$A:$A,X$1)*7.5*(1-AVERAGEIFS('FTE Calculator'!$S:$S,'FTE Calculator'!$A:$A,X$1))),0)</f>
        <v>3.7710437710437712</v>
      </c>
      <c r="Y11" s="27">
        <f>IFERROR(((Y2*Y4)+(Y3*Y5))/(AVERAGEIFS('FTE Calculator'!$AJ:$AJ,'FTE Calculator'!$A:$A,Y$1)*7.5*(1-AVERAGEIFS('FTE Calculator'!$S:$S,'FTE Calculator'!$A:$A,Y$1))),0)</f>
        <v>3.7061524334251605</v>
      </c>
      <c r="Z11" s="27">
        <f>IFERROR(((Z2*Z4)+(Z3*Z5))/(AVERAGEIFS('FTE Calculator'!$AJ:$AJ,'FTE Calculator'!$A:$A,Z$1)*7.5*(1-AVERAGEIFS('FTE Calculator'!$S:$S,'FTE Calculator'!$A:$A,Z$1))),0)</f>
        <v>4.1467304625199359</v>
      </c>
      <c r="AA11" s="27">
        <f>IFERROR(((AA2*AA4)+(AA3*AA5))/(AVERAGEIFS('FTE Calculator'!$AJ:$AJ,'FTE Calculator'!$A:$A,AA$1)*7.5*(1-AVERAGEIFS('FTE Calculator'!$S:$S,'FTE Calculator'!$A:$A,AA$1))),0)</f>
        <v>3.9018759018759019</v>
      </c>
      <c r="AB11" s="28">
        <f>AVERAGE(P11:AA11)</f>
        <v>3.8502222038107203</v>
      </c>
      <c r="AC11" s="27">
        <f>IFERROR(((AC2*AC4)+(AC3*AC5))/(AVERAGEIFS('FTE Calculator'!$AJ:$AJ,'FTE Calculator'!$A:$A,AC$1)*7.5*(1-AVERAGEIFS('FTE Calculator'!$S:$S,'FTE Calculator'!$A:$A,AC$1))),0)</f>
        <v>3.8485529594201382</v>
      </c>
      <c r="AD11" s="27">
        <f>IFERROR(((AD2*AD4)+(AD3*AD5))/(AVERAGEIFS('FTE Calculator'!$AJ:$AJ,'FTE Calculator'!$A:$A,AD$1)*7.5*(1-AVERAGEIFS('FTE Calculator'!$S:$S,'FTE Calculator'!$A:$A,AD$1))),0)</f>
        <v>3.6706915477497257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</row>
    <row r="12" spans="1:700" x14ac:dyDescent="0.25">
      <c r="A12" s="17" t="s">
        <v>144</v>
      </c>
      <c r="B12" s="18"/>
      <c r="C12" s="20">
        <f>SUMIFS('FTE Calculator'!$AN:$AN, 'FTE Calculator'!$A:$A, C$1)</f>
        <v>17.63</v>
      </c>
      <c r="D12" s="20">
        <f>SUMIFS('FTE Calculator'!$AN:$AN, 'FTE Calculator'!$A:$A, D$1)</f>
        <v>13.430000000000001</v>
      </c>
      <c r="E12" s="20">
        <f>SUMIFS('FTE Calculator'!$AN:$AN, 'FTE Calculator'!$A:$A, E$1)</f>
        <v>12.879999999999999</v>
      </c>
      <c r="F12" s="20">
        <f>SUMIFS('FTE Calculator'!$AN:$AN, 'FTE Calculator'!$A:$A, F$1)</f>
        <v>10.53</v>
      </c>
      <c r="G12" s="20">
        <f>SUMIFS('FTE Calculator'!$AN:$AN, 'FTE Calculator'!$A:$A, G$1)</f>
        <v>12.87</v>
      </c>
      <c r="H12" s="20">
        <f>SUMIFS('FTE Calculator'!$AN:$AN, 'FTE Calculator'!$A:$A, H$1)</f>
        <v>12.33</v>
      </c>
      <c r="I12" s="20">
        <f>SUMIFS('FTE Calculator'!$AN:$AN, 'FTE Calculator'!$A:$A, I$1)</f>
        <v>14.39</v>
      </c>
      <c r="J12" s="20">
        <f>SUMIFS('FTE Calculator'!$AN:$AN, 'FTE Calculator'!$A:$A, J$1)</f>
        <v>11.849999999999998</v>
      </c>
      <c r="K12" s="20">
        <f>SUMIFS('FTE Calculator'!$AN:$AN, 'FTE Calculator'!$A:$A, K$1)</f>
        <v>11.22999999999999</v>
      </c>
      <c r="L12" s="20">
        <f>SUMIFS('FTE Calculator'!$AN:$AN, 'FTE Calculator'!$A:$A, L$1)</f>
        <v>10.139999999999997</v>
      </c>
      <c r="M12" s="20">
        <f>SUMIFS('FTE Calculator'!$AN:$AN, 'FTE Calculator'!$A:$A, M$1)</f>
        <v>9.11</v>
      </c>
      <c r="N12" s="20">
        <f>SUMIFS('FTE Calculator'!$AN:$AN, 'FTE Calculator'!$A:$A, N$1)</f>
        <v>7.25</v>
      </c>
      <c r="O12" s="28">
        <f>AVERAGE(C12:N12)</f>
        <v>11.969999999999999</v>
      </c>
      <c r="P12" s="20">
        <f>SUMIFS('FTE Calculator'!$AN:$AN, 'FTE Calculator'!$A:$A, P$1)</f>
        <v>8.7699999999999907</v>
      </c>
      <c r="Q12" s="20">
        <f>SUMIFS('FTE Calculator'!$AN:$AN, 'FTE Calculator'!$A:$A, Q$1)</f>
        <v>7.6</v>
      </c>
      <c r="R12" s="20">
        <f>SUMIFS('FTE Calculator'!$AN:$AN, 'FTE Calculator'!$A:$A, R$1)</f>
        <v>0</v>
      </c>
      <c r="S12" s="20">
        <f>SUMIFS('FTE Calculator'!$AN:$AN, 'FTE Calculator'!$A:$A, S$1)</f>
        <v>0</v>
      </c>
      <c r="T12" s="20">
        <f>SUMIFS('FTE Calculator'!$AN:$AN, 'FTE Calculator'!$A:$A, T$1)</f>
        <v>0</v>
      </c>
      <c r="U12" s="20">
        <f>SUMIFS('FTE Calculator'!$AN:$AN, 'FTE Calculator'!$A:$A, U$1)</f>
        <v>0</v>
      </c>
      <c r="V12" s="20">
        <f>SUMIFS('FTE Calculator'!$AN:$AN, 'FTE Calculator'!$A:$A, V$1)</f>
        <v>0</v>
      </c>
      <c r="W12" s="20">
        <f>SUMIFS('FTE Calculator'!$AN:$AN, 'FTE Calculator'!$A:$A, W$1)</f>
        <v>0</v>
      </c>
      <c r="X12" s="20">
        <f>SUMIFS('FTE Calculator'!$AN:$AN, 'FTE Calculator'!$A:$A, X$1)</f>
        <v>0</v>
      </c>
      <c r="Y12" s="20">
        <f>SUMIFS('FTE Calculator'!$AN:$AN, 'FTE Calculator'!$A:$A, Y$1)</f>
        <v>0</v>
      </c>
      <c r="Z12" s="20">
        <f>SUMIFS('FTE Calculator'!$AN:$AN, 'FTE Calculator'!$A:$A, Z$1)</f>
        <v>0</v>
      </c>
      <c r="AA12" s="20">
        <f>SUMIFS('FTE Calculator'!$AN:$AN, 'FTE Calculator'!$A:$A, AA$1)</f>
        <v>0</v>
      </c>
      <c r="AB12" s="28">
        <f>AVERAGE(P12:AA12)</f>
        <v>1.3641666666666659</v>
      </c>
      <c r="AC12" s="20">
        <f>SUMIFS('FTE Calculator'!$AN:$AN, 'FTE Calculator'!$A:$A, AC$1)</f>
        <v>0</v>
      </c>
      <c r="AD12" s="20">
        <f>SUMIFS('FTE Calculator'!$AN:$AN, 'FTE Calculator'!$A:$A, AD$1)</f>
        <v>0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</row>
    <row r="13" spans="1:700" x14ac:dyDescent="0.25">
      <c r="A13" s="23" t="s">
        <v>145</v>
      </c>
      <c r="B13" s="24"/>
      <c r="C13" s="27">
        <f>SUMIFS('FTE Calculator'!$AQ:$AQ, 'FTE Calculator'!$A:$A, C$1)</f>
        <v>12.360000000000001</v>
      </c>
      <c r="D13" s="27">
        <f>SUMIFS('FTE Calculator'!$AQ:$AQ, 'FTE Calculator'!$A:$A, D$1)</f>
        <v>11.829999999999998</v>
      </c>
      <c r="E13" s="27">
        <f>SUMIFS('FTE Calculator'!$AQ:$AQ, 'FTE Calculator'!$A:$A, E$1)</f>
        <v>11.66</v>
      </c>
      <c r="F13" s="27">
        <f>SUMIFS('FTE Calculator'!$AQ:$AQ, 'FTE Calculator'!$A:$A, F$1)</f>
        <v>10.75</v>
      </c>
      <c r="G13" s="27">
        <f>SUMIFS('FTE Calculator'!$AQ:$AQ, 'FTE Calculator'!$A:$A, G$1)</f>
        <v>11.530000000000001</v>
      </c>
      <c r="H13" s="27">
        <f>SUMIFS('FTE Calculator'!$AQ:$AQ, 'FTE Calculator'!$A:$A, H$1)</f>
        <v>11.9399999999999</v>
      </c>
      <c r="I13" s="27">
        <f>SUMIFS('FTE Calculator'!$AQ:$AQ, 'FTE Calculator'!$A:$A, I$1)</f>
        <v>12.46</v>
      </c>
      <c r="J13" s="27">
        <f>SUMIFS('FTE Calculator'!$AQ:$AQ, 'FTE Calculator'!$A:$A, J$1)</f>
        <v>12.840000000000002</v>
      </c>
      <c r="K13" s="27">
        <f>SUMIFS('FTE Calculator'!$AQ:$AQ, 'FTE Calculator'!$A:$A, K$1)</f>
        <v>12.340000000000002</v>
      </c>
      <c r="L13" s="27">
        <f>SUMIFS('FTE Calculator'!$AQ:$AQ, 'FTE Calculator'!$A:$A, L$1)</f>
        <v>11.89</v>
      </c>
      <c r="M13" s="27">
        <f>SUMIFS('FTE Calculator'!$AQ:$AQ, 'FTE Calculator'!$A:$A, M$1)</f>
        <v>12.68</v>
      </c>
      <c r="N13" s="27">
        <f>SUMIFS('FTE Calculator'!$AQ:$AQ, 'FTE Calculator'!$A:$A, N$1)</f>
        <v>13.03</v>
      </c>
      <c r="O13" s="28">
        <f>AVERAGE(C13:N13)</f>
        <v>12.109166666666658</v>
      </c>
      <c r="P13" s="27">
        <f>SUMIFS('FTE Calculator'!$AQ:$AQ, 'FTE Calculator'!$A:$A, P$1)</f>
        <v>10.41</v>
      </c>
      <c r="Q13" s="27">
        <f>SUMIFS('FTE Calculator'!$AQ:$AQ, 'FTE Calculator'!$A:$A, Q$1)</f>
        <v>8.02</v>
      </c>
      <c r="R13" s="27">
        <f>SUMIFS('FTE Calculator'!$AQ:$AQ, 'FTE Calculator'!$A:$A, R$1)</f>
        <v>7.3199999999999994</v>
      </c>
      <c r="S13" s="27">
        <f>SUMIFS('FTE Calculator'!$AQ:$AQ, 'FTE Calculator'!$A:$A, S$1)</f>
        <v>7.86</v>
      </c>
      <c r="T13" s="27">
        <f>SUMIFS('FTE Calculator'!$AQ:$AQ, 'FTE Calculator'!$A:$A, T$1)</f>
        <v>9.1</v>
      </c>
      <c r="U13" s="27">
        <f>SUMIFS('FTE Calculator'!$AQ:$AQ, 'FTE Calculator'!$A:$A, U$1)</f>
        <v>8.9499999999999993</v>
      </c>
      <c r="V13" s="27">
        <f>SUMIFS('FTE Calculator'!$AQ:$AQ, 'FTE Calculator'!$A:$A, V$1)</f>
        <v>8.85</v>
      </c>
      <c r="W13" s="27">
        <f>SUMIFS('FTE Calculator'!$AQ:$AQ, 'FTE Calculator'!$A:$A, W$1)</f>
        <v>8.91</v>
      </c>
      <c r="X13" s="27">
        <f>SUMIFS('FTE Calculator'!$AQ:$AQ, 'FTE Calculator'!$A:$A, X$1)</f>
        <v>9.16</v>
      </c>
      <c r="Y13" s="27">
        <f>SUMIFS('FTE Calculator'!$AQ:$AQ, 'FTE Calculator'!$A:$A, Y$1)</f>
        <v>8.9199999999999982</v>
      </c>
      <c r="Z13" s="27">
        <f>SUMIFS('FTE Calculator'!$AQ:$AQ, 'FTE Calculator'!$A:$A, Z$1)</f>
        <v>8.8199999999999985</v>
      </c>
      <c r="AA13" s="27">
        <f>SUMIFS('FTE Calculator'!$AQ:$AQ, 'FTE Calculator'!$A:$A, AA$1)</f>
        <v>9.1199999999999886</v>
      </c>
      <c r="AB13" s="28">
        <f>AVERAGE(P13:AA13)</f>
        <v>8.7866666666666653</v>
      </c>
      <c r="AC13" s="27">
        <f>SUMIFS('FTE Calculator'!$AQ:$AQ, 'FTE Calculator'!$A:$A, AC$1)</f>
        <v>9.0399999999999991</v>
      </c>
      <c r="AD13" s="27">
        <f>SUMIFS('FTE Calculator'!$AQ:$AQ, 'FTE Calculator'!$A:$A, AD$1)</f>
        <v>8.98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</row>
    <row r="14" spans="1:700" x14ac:dyDescent="0.25">
      <c r="A14" s="23"/>
      <c r="B14" s="24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8"/>
      <c r="AC14" s="27"/>
      <c r="AD14" s="27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</row>
    <row r="15" spans="1:700" x14ac:dyDescent="0.25">
      <c r="A15" s="23" t="s">
        <v>140</v>
      </c>
      <c r="B15" s="24"/>
      <c r="C15" s="27">
        <f t="shared" ref="C15:N15" si="2">C7-C37</f>
        <v>-2.3599999999999994</v>
      </c>
      <c r="D15" s="27">
        <f t="shared" si="2"/>
        <v>-1.9999999999999574E-2</v>
      </c>
      <c r="E15" s="27">
        <f t="shared" si="2"/>
        <v>1.1800000000000006</v>
      </c>
      <c r="F15" s="27">
        <f t="shared" si="2"/>
        <v>2.0300000000000002</v>
      </c>
      <c r="G15" s="27">
        <f t="shared" si="2"/>
        <v>-0.37999999999999989</v>
      </c>
      <c r="H15" s="27">
        <f t="shared" si="2"/>
        <v>-2.16</v>
      </c>
      <c r="I15" s="27">
        <f t="shared" si="2"/>
        <v>-1.5500000000000007</v>
      </c>
      <c r="J15" s="27">
        <f t="shared" si="2"/>
        <v>6.0000000000000497E-2</v>
      </c>
      <c r="K15" s="27">
        <f t="shared" si="2"/>
        <v>0.15000000000000036</v>
      </c>
      <c r="L15" s="27">
        <f t="shared" si="2"/>
        <v>1.2599999999999998</v>
      </c>
      <c r="M15" s="27">
        <f t="shared" si="2"/>
        <v>2.33</v>
      </c>
      <c r="N15" s="27">
        <f t="shared" si="2"/>
        <v>3.09</v>
      </c>
      <c r="O15" s="28">
        <f>AVERAGE(C15:N15)</f>
        <v>0.30250000000000016</v>
      </c>
      <c r="P15" s="27">
        <f t="shared" ref="P15:AA15" si="3">P7-P37</f>
        <v>1.4600000000000009</v>
      </c>
      <c r="Q15" s="27">
        <f t="shared" si="3"/>
        <v>1.5300000000000002</v>
      </c>
      <c r="R15" s="27">
        <f t="shared" si="3"/>
        <v>2.62</v>
      </c>
      <c r="S15" s="27">
        <f t="shared" si="3"/>
        <v>2.2500000000000009</v>
      </c>
      <c r="T15" s="27">
        <f t="shared" si="3"/>
        <v>1.5</v>
      </c>
      <c r="U15" s="27">
        <f t="shared" si="3"/>
        <v>1.58</v>
      </c>
      <c r="V15" s="27">
        <f t="shared" si="3"/>
        <v>1.7000000000000002</v>
      </c>
      <c r="W15" s="27">
        <f t="shared" si="3"/>
        <v>1.6600000000000001</v>
      </c>
      <c r="X15" s="27">
        <f t="shared" si="3"/>
        <v>1.5299999999999994</v>
      </c>
      <c r="Y15" s="27">
        <f t="shared" si="3"/>
        <v>1.6800000000000006</v>
      </c>
      <c r="Z15" s="27">
        <f t="shared" si="3"/>
        <v>1.7200000000000006</v>
      </c>
      <c r="AA15" s="27">
        <f t="shared" si="3"/>
        <v>1.5200000000000005</v>
      </c>
      <c r="AB15" s="28">
        <f>AVERAGE(P15:AA15)</f>
        <v>1.729166666666667</v>
      </c>
      <c r="AC15" s="27">
        <f>AC7-AC37</f>
        <v>1.6900000000000004</v>
      </c>
      <c r="AD15" s="27">
        <f>AD7-AD37</f>
        <v>1.7200000000000006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</row>
    <row r="16" spans="1:700" x14ac:dyDescent="0.25">
      <c r="A16" s="17" t="s">
        <v>141</v>
      </c>
      <c r="B16" s="18"/>
      <c r="C16" s="20">
        <f t="shared" ref="C16:N16" si="4">C8-C52</f>
        <v>-0.34999999999999964</v>
      </c>
      <c r="D16" s="20">
        <f t="shared" si="4"/>
        <v>0.98000000000000043</v>
      </c>
      <c r="E16" s="20">
        <f t="shared" si="4"/>
        <v>0.32999999999999918</v>
      </c>
      <c r="F16" s="20">
        <f t="shared" si="4"/>
        <v>2.2300000000000004</v>
      </c>
      <c r="G16" s="20">
        <f t="shared" si="4"/>
        <v>1.2999999999999998</v>
      </c>
      <c r="H16" s="20">
        <f t="shared" si="4"/>
        <v>1.9100000000000001</v>
      </c>
      <c r="I16" s="20">
        <f t="shared" si="4"/>
        <v>1.92</v>
      </c>
      <c r="J16" s="20">
        <f t="shared" si="4"/>
        <v>2.8499999999999996</v>
      </c>
      <c r="K16" s="20">
        <f t="shared" si="4"/>
        <v>3.3600000000000003</v>
      </c>
      <c r="L16" s="20">
        <f t="shared" si="4"/>
        <v>3.13</v>
      </c>
      <c r="M16" s="20">
        <f t="shared" si="4"/>
        <v>3.09</v>
      </c>
      <c r="N16" s="20">
        <f t="shared" si="4"/>
        <v>4.1900000000000004</v>
      </c>
      <c r="O16" s="28">
        <f>AVERAGE(C16:N16)</f>
        <v>2.0783333333333336</v>
      </c>
      <c r="P16" s="20">
        <f t="shared" ref="P16:AA16" si="5">P8-P52</f>
        <v>4.3000000000000007</v>
      </c>
      <c r="Q16" s="20">
        <f t="shared" si="5"/>
        <v>4.4000000000000004</v>
      </c>
      <c r="R16" s="20">
        <f t="shared" si="5"/>
        <v>4.59</v>
      </c>
      <c r="S16" s="20">
        <f t="shared" si="5"/>
        <v>4.42</v>
      </c>
      <c r="T16" s="20">
        <f t="shared" si="5"/>
        <v>3.9300000000000006</v>
      </c>
      <c r="U16" s="20">
        <f t="shared" si="5"/>
        <v>4</v>
      </c>
      <c r="V16" s="20">
        <f t="shared" si="5"/>
        <v>3.98</v>
      </c>
      <c r="W16" s="20">
        <f t="shared" si="5"/>
        <v>3.9600000000000004</v>
      </c>
      <c r="X16" s="20">
        <f t="shared" si="5"/>
        <v>3.8400000000000003</v>
      </c>
      <c r="Y16" s="20">
        <f t="shared" si="5"/>
        <v>3.9300000000000006</v>
      </c>
      <c r="Z16" s="20">
        <f t="shared" si="5"/>
        <v>3.99</v>
      </c>
      <c r="AA16" s="20">
        <f t="shared" si="5"/>
        <v>3.8900000000000006</v>
      </c>
      <c r="AB16" s="28">
        <f>AVERAGE(P16:AA16)</f>
        <v>4.1025</v>
      </c>
      <c r="AC16" s="20">
        <f>AC8-AC52</f>
        <v>3.8000000000000003</v>
      </c>
      <c r="AD16" s="20">
        <f>AD8-AD52</f>
        <v>3.8300000000000005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</row>
    <row r="17" spans="1:700" x14ac:dyDescent="0.25">
      <c r="A17" s="23" t="s">
        <v>142</v>
      </c>
      <c r="B17" s="24"/>
      <c r="C17" s="27">
        <f t="shared" ref="C17:N17" si="6">C15+C16</f>
        <v>-2.7099999999999991</v>
      </c>
      <c r="D17" s="27">
        <f t="shared" si="6"/>
        <v>0.96000000000000085</v>
      </c>
      <c r="E17" s="27">
        <f t="shared" si="6"/>
        <v>1.5099999999999998</v>
      </c>
      <c r="F17" s="27">
        <f t="shared" si="6"/>
        <v>4.2600000000000007</v>
      </c>
      <c r="G17" s="27">
        <f t="shared" si="6"/>
        <v>0.91999999999999993</v>
      </c>
      <c r="H17" s="27">
        <f t="shared" si="6"/>
        <v>-0.25</v>
      </c>
      <c r="I17" s="27">
        <f t="shared" si="6"/>
        <v>0.36999999999999922</v>
      </c>
      <c r="J17" s="27">
        <f t="shared" si="6"/>
        <v>2.91</v>
      </c>
      <c r="K17" s="27">
        <f t="shared" si="6"/>
        <v>3.5100000000000007</v>
      </c>
      <c r="L17" s="27">
        <f t="shared" si="6"/>
        <v>4.3899999999999997</v>
      </c>
      <c r="M17" s="27">
        <f t="shared" si="6"/>
        <v>5.42</v>
      </c>
      <c r="N17" s="27">
        <f t="shared" si="6"/>
        <v>7.28</v>
      </c>
      <c r="O17" s="28">
        <f>AVERAGE(C17:N17)</f>
        <v>2.3808333333333334</v>
      </c>
      <c r="P17" s="27">
        <f t="shared" ref="P17:AA17" si="7">P15+P16</f>
        <v>5.7600000000000016</v>
      </c>
      <c r="Q17" s="27">
        <f t="shared" si="7"/>
        <v>5.9300000000000006</v>
      </c>
      <c r="R17" s="27">
        <f t="shared" si="7"/>
        <v>7.21</v>
      </c>
      <c r="S17" s="27">
        <f t="shared" si="7"/>
        <v>6.6700000000000008</v>
      </c>
      <c r="T17" s="27">
        <f t="shared" si="7"/>
        <v>5.4300000000000006</v>
      </c>
      <c r="U17" s="27">
        <f t="shared" si="7"/>
        <v>5.58</v>
      </c>
      <c r="V17" s="27">
        <f t="shared" si="7"/>
        <v>5.68</v>
      </c>
      <c r="W17" s="27">
        <f t="shared" si="7"/>
        <v>5.620000000000001</v>
      </c>
      <c r="X17" s="27">
        <f t="shared" si="7"/>
        <v>5.3699999999999992</v>
      </c>
      <c r="Y17" s="27">
        <f t="shared" si="7"/>
        <v>5.6100000000000012</v>
      </c>
      <c r="Z17" s="27">
        <f t="shared" si="7"/>
        <v>5.7100000000000009</v>
      </c>
      <c r="AA17" s="27">
        <f t="shared" si="7"/>
        <v>5.410000000000001</v>
      </c>
      <c r="AB17" s="28">
        <f>AVERAGE(P17:AA17)</f>
        <v>5.831666666666667</v>
      </c>
      <c r="AC17" s="27">
        <f>AC15+AC16</f>
        <v>5.49</v>
      </c>
      <c r="AD17" s="27">
        <f>AD15+AD16</f>
        <v>5.5500000000000007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</row>
    <row r="18" spans="1:700" x14ac:dyDescent="0.25">
      <c r="A18" s="23"/>
      <c r="B18" s="24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8"/>
      <c r="AC18" s="27"/>
      <c r="AD18" s="27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</row>
    <row r="19" spans="1:700" x14ac:dyDescent="0.25">
      <c r="A19" s="23" t="s">
        <v>95</v>
      </c>
      <c r="B19" s="24"/>
      <c r="C19" s="29">
        <f>IFERROR(AVERAGEIFS('FTE Calculator'!$O:$O, 'FTE Calculator'!$A:$A, C$1, 'FTE Calculator'!$F:$F, "phone", 'FTE Calculator'!$N:$N, "&lt;&gt;0"), 0)</f>
        <v>0.82727142857142855</v>
      </c>
      <c r="D19" s="29">
        <f>IFERROR(AVERAGEIFS('FTE Calculator'!$O:$O, 'FTE Calculator'!$A:$A, D$1, 'FTE Calculator'!$F:$F, "phone", 'FTE Calculator'!$N:$N, "&lt;&gt;0"), 0)</f>
        <v>0.94058571428571436</v>
      </c>
      <c r="E19" s="29">
        <f>IFERROR(AVERAGEIFS('FTE Calculator'!$O:$O, 'FTE Calculator'!$A:$A, E$1, 'FTE Calculator'!$F:$F, "phone", 'FTE Calculator'!$N:$N, "&lt;&gt;0"), 0)</f>
        <v>0.77887142857142844</v>
      </c>
      <c r="F19" s="29">
        <f>IFERROR(AVERAGEIFS('FTE Calculator'!$O:$O, 'FTE Calculator'!$A:$A, F$1, 'FTE Calculator'!$F:$F, "phone", 'FTE Calculator'!$N:$N, "&lt;&gt;0"), 0)</f>
        <v>0.91411428571428566</v>
      </c>
      <c r="G19" s="29">
        <f>IFERROR(AVERAGEIFS('FTE Calculator'!$O:$O, 'FTE Calculator'!$A:$A, G$1, 'FTE Calculator'!$F:$F, "phone", 'FTE Calculator'!$N:$N, "&lt;&gt;0"), 0)</f>
        <v>0.90576666666666661</v>
      </c>
      <c r="H19" s="29">
        <f>IFERROR(AVERAGEIFS('FTE Calculator'!$O:$O, 'FTE Calculator'!$A:$A, H$1, 'FTE Calculator'!$F:$F, "phone", 'FTE Calculator'!$N:$N, "&lt;&gt;0"), 0)</f>
        <v>0.81225000000000003</v>
      </c>
      <c r="I19" s="29">
        <f>IFERROR(AVERAGEIFS('FTE Calculator'!$O:$O, 'FTE Calculator'!$A:$A, I$1, 'FTE Calculator'!$F:$F, "phone", 'FTE Calculator'!$N:$N, "&lt;&gt;0"), 0)</f>
        <v>0.63461666666666672</v>
      </c>
      <c r="J19" s="29">
        <f>IFERROR(AVERAGEIFS('FTE Calculator'!$O:$O, 'FTE Calculator'!$A:$A, J$1, 'FTE Calculator'!$F:$F, "phone", 'FTE Calculator'!$N:$N, "&lt;&gt;0"), 0)</f>
        <v>0.79132857142857138</v>
      </c>
      <c r="K19" s="29">
        <f>IFERROR(AVERAGEIFS('FTE Calculator'!$O:$O, 'FTE Calculator'!$A:$A, K$1, 'FTE Calculator'!$F:$F, "phone", 'FTE Calculator'!$N:$N, "&lt;&gt;0"), 0)</f>
        <v>0.93411666666666671</v>
      </c>
      <c r="L19" s="29">
        <f>IFERROR(AVERAGEIFS('FTE Calculator'!$O:$O, 'FTE Calculator'!$A:$A, L$1, 'FTE Calculator'!$F:$F, "phone", 'FTE Calculator'!$N:$N, "&lt;&gt;0"), 0)</f>
        <v>0.93537142857142841</v>
      </c>
      <c r="M19" s="29">
        <f>IFERROR(AVERAGEIFS('FTE Calculator'!$O:$O, 'FTE Calculator'!$A:$A, M$1, 'FTE Calculator'!$F:$F, "phone", 'FTE Calculator'!$N:$N, "&lt;&gt;0"), 0)</f>
        <v>0.87734999999999996</v>
      </c>
      <c r="N19" s="29">
        <f>IFERROR(AVERAGEIFS('FTE Calculator'!$O:$O, 'FTE Calculator'!$A:$A, N$1, 'FTE Calculator'!$F:$F, "phone", 'FTE Calculator'!$N:$N, "&lt;&gt;0"), 0)</f>
        <v>0.97129999999999994</v>
      </c>
      <c r="O19" s="30">
        <f>AVERAGE(C19:N19)</f>
        <v>0.86024523809523801</v>
      </c>
      <c r="P19" s="29">
        <f>IFERROR(AVERAGEIFS('FTE Calculator'!$O:$O, 'FTE Calculator'!$A:$A, P$1, 'FTE Calculator'!$F:$F, "phone", 'FTE Calculator'!$N:$N, "&lt;&gt;0"), 0)</f>
        <v>0.89913333333333334</v>
      </c>
      <c r="Q19" s="29">
        <f>IFERROR(AVERAGEIFS('FTE Calculator'!$O:$O, 'FTE Calculator'!$A:$A, Q$1, 'FTE Calculator'!$F:$F, "phone", 'FTE Calculator'!$N:$N, "&lt;&gt;0"), 0)</f>
        <v>0.90191428571428578</v>
      </c>
      <c r="R19" s="29">
        <f>IFERROR(AVERAGEIFS('FTE Calculator'!$O:$O, 'FTE Calculator'!$A:$A, R$1, 'FTE Calculator'!$F:$F, "phone", 'FTE Calculator'!$N:$N, "&lt;&gt;0"), 0)</f>
        <v>0</v>
      </c>
      <c r="S19" s="29">
        <f>IFERROR(AVERAGEIFS('FTE Calculator'!$O:$O, 'FTE Calculator'!$A:$A, S$1, 'FTE Calculator'!$F:$F, "phone", 'FTE Calculator'!$N:$N, "&lt;&gt;0"), 0)</f>
        <v>0</v>
      </c>
      <c r="T19" s="29">
        <f>IFERROR(AVERAGEIFS('FTE Calculator'!$O:$O, 'FTE Calculator'!$A:$A, T$1, 'FTE Calculator'!$F:$F, "phone", 'FTE Calculator'!$N:$N, "&lt;&gt;0"), 0)</f>
        <v>0</v>
      </c>
      <c r="U19" s="29">
        <f>IFERROR(AVERAGEIFS('FTE Calculator'!$O:$O, 'FTE Calculator'!$A:$A, U$1, 'FTE Calculator'!$F:$F, "phone", 'FTE Calculator'!$N:$N, "&lt;&gt;0"), 0)</f>
        <v>0</v>
      </c>
      <c r="V19" s="29">
        <f>IFERROR(AVERAGEIFS('FTE Calculator'!$O:$O, 'FTE Calculator'!$A:$A, V$1, 'FTE Calculator'!$F:$F, "phone", 'FTE Calculator'!$N:$N, "&lt;&gt;0"), 0)</f>
        <v>0</v>
      </c>
      <c r="W19" s="29">
        <f>IFERROR(AVERAGEIFS('FTE Calculator'!$O:$O, 'FTE Calculator'!$A:$A, W$1, 'FTE Calculator'!$F:$F, "phone", 'FTE Calculator'!$N:$N, "&lt;&gt;0"), 0)</f>
        <v>0</v>
      </c>
      <c r="X19" s="29">
        <f>IFERROR(AVERAGEIFS('FTE Calculator'!$O:$O, 'FTE Calculator'!$A:$A, X$1, 'FTE Calculator'!$F:$F, "phone", 'FTE Calculator'!$N:$N, "&lt;&gt;0"), 0)</f>
        <v>0</v>
      </c>
      <c r="Y19" s="29">
        <f>IFERROR(AVERAGEIFS('FTE Calculator'!$O:$O, 'FTE Calculator'!$A:$A, Y$1, 'FTE Calculator'!$F:$F, "phone", 'FTE Calculator'!$N:$N, "&lt;&gt;0"), 0)</f>
        <v>0</v>
      </c>
      <c r="Z19" s="29">
        <f>IFERROR(AVERAGEIFS('FTE Calculator'!$O:$O, 'FTE Calculator'!$A:$A, Z$1, 'FTE Calculator'!$F:$F, "phone", 'FTE Calculator'!$N:$N, "&lt;&gt;0"), 0)</f>
        <v>0</v>
      </c>
      <c r="AA19" s="29">
        <f>IFERROR(AVERAGEIFS('FTE Calculator'!$O:$O, 'FTE Calculator'!$A:$A, AA$1, 'FTE Calculator'!$F:$F, "phone", 'FTE Calculator'!$N:$N, "&lt;&gt;0"), 0)</f>
        <v>0</v>
      </c>
      <c r="AB19" s="30">
        <f>AVERAGE(P19:AA19)</f>
        <v>0.15008730158730157</v>
      </c>
      <c r="AC19" s="29">
        <f>IFERROR(AVERAGEIFS('FTE Calculator'!$O:$O, 'FTE Calculator'!$A:$A, AC$1, 'FTE Calculator'!$F:$F, "phone", 'FTE Calculator'!$N:$N, "&lt;&gt;0"), 0)</f>
        <v>0</v>
      </c>
      <c r="AD19" s="29">
        <f>IFERROR(AVERAGEIFS('FTE Calculator'!$O:$O, 'FTE Calculator'!$A:$A, AD$1, 'FTE Calculator'!$F:$F, "phone", 'FTE Calculator'!$N:$N, "&lt;&gt;0"), 0)</f>
        <v>0</v>
      </c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  <c r="XY19" s="11"/>
      <c r="XZ19" s="11"/>
      <c r="YA19" s="11"/>
      <c r="YB19" s="11"/>
      <c r="YC19" s="11"/>
      <c r="YD19" s="11"/>
      <c r="YE19" s="11"/>
      <c r="YF19" s="11"/>
      <c r="YG19" s="11"/>
      <c r="YH19" s="11"/>
      <c r="YI19" s="11"/>
      <c r="YJ19" s="11"/>
      <c r="YK19" s="11"/>
      <c r="YL19" s="11"/>
      <c r="YM19" s="11"/>
      <c r="YN19" s="11"/>
      <c r="YO19" s="11"/>
      <c r="YP19" s="11"/>
      <c r="YQ19" s="11"/>
      <c r="YR19" s="11"/>
      <c r="YS19" s="11"/>
      <c r="YT19" s="11"/>
      <c r="YU19" s="11"/>
      <c r="YV19" s="11"/>
      <c r="YW19" s="11"/>
      <c r="YX19" s="11"/>
      <c r="YY19" s="11"/>
      <c r="YZ19" s="11"/>
      <c r="ZA19" s="11"/>
      <c r="ZB19" s="11"/>
      <c r="ZC19" s="11"/>
      <c r="ZD19" s="11"/>
      <c r="ZE19" s="11"/>
      <c r="ZF19" s="11"/>
      <c r="ZG19" s="11"/>
      <c r="ZH19" s="11"/>
      <c r="ZI19" s="11"/>
      <c r="ZJ19" s="11"/>
      <c r="ZK19" s="11"/>
      <c r="ZL19" s="11"/>
      <c r="ZM19" s="11"/>
      <c r="ZN19" s="11"/>
      <c r="ZO19" s="11"/>
      <c r="ZP19" s="11"/>
      <c r="ZQ19" s="11"/>
      <c r="ZR19" s="11"/>
      <c r="ZS19" s="11"/>
      <c r="ZT19" s="11"/>
      <c r="ZU19" s="11"/>
      <c r="ZV19" s="11"/>
      <c r="ZW19" s="11"/>
      <c r="ZX19" s="11"/>
    </row>
    <row r="20" spans="1:700" x14ac:dyDescent="0.25">
      <c r="A20" s="17" t="s">
        <v>176</v>
      </c>
      <c r="B20" s="18"/>
      <c r="C20" s="22">
        <f>IF(C$1&lt;DATE(2026,3,1),IFERROR(AVERAGEIFS('FTE Calculator'!$L:$L,'FTE Calculator'!$A:$A,C$1,'FTE Calculator'!$F:$F,"phone",'FTE Calculator'!$C:$C,"Matrix 1"),0),IFERROR(AVERAGEIFS('FTE Calculator'!$U:$U,'FTE Calculator'!$A:$A,C$1,'FTE Calculator'!$F:$F,"phone",'FTE Calculator'!$C:$C,"Matrix 1"),0))</f>
        <v>593.21</v>
      </c>
      <c r="D20" s="22">
        <f>IF(D$1&lt;DATE(2026,3,1),IFERROR(AVERAGEIFS('FTE Calculator'!$L:$L,'FTE Calculator'!$A:$A,D$1,'FTE Calculator'!$F:$F,"phone",'FTE Calculator'!$C:$C,"Matrix 1"),0),IFERROR(AVERAGEIFS('FTE Calculator'!$U:$U,'FTE Calculator'!$A:$A,D$1,'FTE Calculator'!$F:$F,"phone",'FTE Calculator'!$C:$C,"Matrix 1"),0))</f>
        <v>593.84</v>
      </c>
      <c r="E20" s="22">
        <f>IF(E$1&lt;DATE(2026,3,1),IFERROR(AVERAGEIFS('FTE Calculator'!$L:$L,'FTE Calculator'!$A:$A,E$1,'FTE Calculator'!$F:$F,"phone",'FTE Calculator'!$C:$C,"Matrix 1"),0),IFERROR(AVERAGEIFS('FTE Calculator'!$U:$U,'FTE Calculator'!$A:$A,E$1,'FTE Calculator'!$F:$F,"phone",'FTE Calculator'!$C:$C,"Matrix 1"),0))</f>
        <v>601.92999999999995</v>
      </c>
      <c r="F20" s="22">
        <f>IF(F$1&lt;DATE(2026,3,1),IFERROR(AVERAGEIFS('FTE Calculator'!$L:$L,'FTE Calculator'!$A:$A,F$1,'FTE Calculator'!$F:$F,"phone",'FTE Calculator'!$C:$C,"Matrix 1"),0),IFERROR(AVERAGEIFS('FTE Calculator'!$U:$U,'FTE Calculator'!$A:$A,F$1,'FTE Calculator'!$F:$F,"phone",'FTE Calculator'!$C:$C,"Matrix 1"),0))</f>
        <v>549.96</v>
      </c>
      <c r="G20" s="22">
        <f>IF(G$1&lt;DATE(2026,3,1),IFERROR(AVERAGEIFS('FTE Calculator'!$L:$L,'FTE Calculator'!$A:$A,G$1,'FTE Calculator'!$F:$F,"phone",'FTE Calculator'!$C:$C,"Matrix 1"),0),IFERROR(AVERAGEIFS('FTE Calculator'!$U:$U,'FTE Calculator'!$A:$A,G$1,'FTE Calculator'!$F:$F,"phone",'FTE Calculator'!$C:$C,"Matrix 1"),0))</f>
        <v>569.95000000000005</v>
      </c>
      <c r="H20" s="22">
        <f>IF(H$1&lt;DATE(2026,3,1),IFERROR(AVERAGEIFS('FTE Calculator'!$L:$L,'FTE Calculator'!$A:$A,H$1,'FTE Calculator'!$F:$F,"phone",'FTE Calculator'!$C:$C,"Matrix 1"),0),IFERROR(AVERAGEIFS('FTE Calculator'!$U:$U,'FTE Calculator'!$A:$A,H$1,'FTE Calculator'!$F:$F,"phone",'FTE Calculator'!$C:$C,"Matrix 1"),0))</f>
        <v>594.25</v>
      </c>
      <c r="I20" s="22">
        <f>IF(I$1&lt;DATE(2026,3,1),IFERROR(AVERAGEIFS('FTE Calculator'!$L:$L,'FTE Calculator'!$A:$A,I$1,'FTE Calculator'!$F:$F,"phone",'FTE Calculator'!$C:$C,"Matrix 1"),0),IFERROR(AVERAGEIFS('FTE Calculator'!$U:$U,'FTE Calculator'!$A:$A,I$1,'FTE Calculator'!$F:$F,"phone",'FTE Calculator'!$C:$C,"Matrix 1"),0))</f>
        <v>628.39</v>
      </c>
      <c r="J20" s="22">
        <f>IF(J$1&lt;DATE(2026,3,1),IFERROR(AVERAGEIFS('FTE Calculator'!$L:$L,'FTE Calculator'!$A:$A,J$1,'FTE Calculator'!$F:$F,"phone",'FTE Calculator'!$C:$C,"Matrix 1"),0),IFERROR(AVERAGEIFS('FTE Calculator'!$U:$U,'FTE Calculator'!$A:$A,J$1,'FTE Calculator'!$F:$F,"phone",'FTE Calculator'!$C:$C,"Matrix 1"),0))</f>
        <v>642.4</v>
      </c>
      <c r="K20" s="22">
        <f>IF(K$1&lt;DATE(2026,3,1),IFERROR(AVERAGEIFS('FTE Calculator'!$L:$L,'FTE Calculator'!$A:$A,K$1,'FTE Calculator'!$F:$F,"phone",'FTE Calculator'!$C:$C,"Matrix 1"),0),IFERROR(AVERAGEIFS('FTE Calculator'!$U:$U,'FTE Calculator'!$A:$A,K$1,'FTE Calculator'!$F:$F,"phone",'FTE Calculator'!$C:$C,"Matrix 1"),0))</f>
        <v>619.44000000000005</v>
      </c>
      <c r="L20" s="22">
        <f>IF(L$1&lt;DATE(2026,3,1),IFERROR(AVERAGEIFS('FTE Calculator'!$L:$L,'FTE Calculator'!$A:$A,L$1,'FTE Calculator'!$F:$F,"phone",'FTE Calculator'!$C:$C,"Matrix 1"),0),IFERROR(AVERAGEIFS('FTE Calculator'!$U:$U,'FTE Calculator'!$A:$A,L$1,'FTE Calculator'!$F:$F,"phone",'FTE Calculator'!$C:$C,"Matrix 1"),0))</f>
        <v>592.54</v>
      </c>
      <c r="M20" s="22">
        <f>IF(M$1&lt;DATE(2026,3,1),IFERROR(AVERAGEIFS('FTE Calculator'!$L:$L,'FTE Calculator'!$A:$A,M$1,'FTE Calculator'!$F:$F,"phone",'FTE Calculator'!$C:$C,"Matrix 1"),0),IFERROR(AVERAGEIFS('FTE Calculator'!$U:$U,'FTE Calculator'!$A:$A,M$1,'FTE Calculator'!$F:$F,"phone",'FTE Calculator'!$C:$C,"Matrix 1"),0))</f>
        <v>616.85</v>
      </c>
      <c r="N20" s="22">
        <f>IF(N$1&lt;DATE(2026,3,1),IFERROR(AVERAGEIFS('FTE Calculator'!$L:$L,'FTE Calculator'!$A:$A,N$1,'FTE Calculator'!$F:$F,"phone",'FTE Calculator'!$C:$C,"Matrix 1"),0),IFERROR(AVERAGEIFS('FTE Calculator'!$U:$U,'FTE Calculator'!$A:$A,N$1,'FTE Calculator'!$F:$F,"phone",'FTE Calculator'!$C:$C,"Matrix 1"),0))</f>
        <v>598.12</v>
      </c>
      <c r="O20" s="32">
        <f>AVERAGE(C20:N20)</f>
        <v>600.07333333333338</v>
      </c>
      <c r="P20" s="22">
        <f>IF(P$1&lt;DATE(2026,3,1),IFERROR(AVERAGEIFS('FTE Calculator'!$L:$L,'FTE Calculator'!$A:$A,P$1,'FTE Calculator'!$F:$F,"phone",'FTE Calculator'!$C:$C,"Matrix 1"),0),IFERROR(AVERAGEIFS('FTE Calculator'!$U:$U,'FTE Calculator'!$A:$A,P$1,'FTE Calculator'!$F:$F,"phone",'FTE Calculator'!$C:$C,"Matrix 1"),0))</f>
        <v>617.24</v>
      </c>
      <c r="Q20" s="22">
        <f>IF(Q$1&lt;DATE(2026,3,1),IFERROR(AVERAGEIFS('FTE Calculator'!$L:$L,'FTE Calculator'!$A:$A,Q$1,'FTE Calculator'!$F:$F,"phone",'FTE Calculator'!$C:$C,"Matrix 1"),0),IFERROR(AVERAGEIFS('FTE Calculator'!$U:$U,'FTE Calculator'!$A:$A,Q$1,'FTE Calculator'!$F:$F,"phone",'FTE Calculator'!$C:$C,"Matrix 1"),0))</f>
        <v>591.70000000000005</v>
      </c>
      <c r="R20" s="22">
        <f>IF(R$1&lt;DATE(2026,3,1),IFERROR(AVERAGEIFS('FTE Calculator'!$L:$L,'FTE Calculator'!$A:$A,R$1,'FTE Calculator'!$F:$F,"phone",'FTE Calculator'!$C:$C,"Matrix 1"),0),IFERROR(AVERAGEIFS('FTE Calculator'!$U:$U,'FTE Calculator'!$A:$A,R$1,'FTE Calculator'!$F:$F,"phone",'FTE Calculator'!$C:$C,"Matrix 1"),0))</f>
        <v>602.35</v>
      </c>
      <c r="S20" s="22">
        <f>IF(S$1&lt;DATE(2026,3,1),IFERROR(AVERAGEIFS('FTE Calculator'!$L:$L,'FTE Calculator'!$A:$A,S$1,'FTE Calculator'!$F:$F,"phone",'FTE Calculator'!$C:$C,"Matrix 1"),0),IFERROR(AVERAGEIFS('FTE Calculator'!$U:$U,'FTE Calculator'!$A:$A,S$1,'FTE Calculator'!$F:$F,"phone",'FTE Calculator'!$C:$C,"Matrix 1"),0))</f>
        <v>602.35</v>
      </c>
      <c r="T20" s="22">
        <f>IF(T$1&lt;DATE(2026,3,1),IFERROR(AVERAGEIFS('FTE Calculator'!$L:$L,'FTE Calculator'!$A:$A,T$1,'FTE Calculator'!$F:$F,"phone",'FTE Calculator'!$C:$C,"Matrix 1"),0),IFERROR(AVERAGEIFS('FTE Calculator'!$U:$U,'FTE Calculator'!$A:$A,T$1,'FTE Calculator'!$F:$F,"phone",'FTE Calculator'!$C:$C,"Matrix 1"),0))</f>
        <v>602.35</v>
      </c>
      <c r="U20" s="22">
        <f>IF(U$1&lt;DATE(2026,3,1),IFERROR(AVERAGEIFS('FTE Calculator'!$L:$L,'FTE Calculator'!$A:$A,U$1,'FTE Calculator'!$F:$F,"phone",'FTE Calculator'!$C:$C,"Matrix 1"),0),IFERROR(AVERAGEIFS('FTE Calculator'!$U:$U,'FTE Calculator'!$A:$A,U$1,'FTE Calculator'!$F:$F,"phone",'FTE Calculator'!$C:$C,"Matrix 1"),0))</f>
        <v>602.35</v>
      </c>
      <c r="V20" s="22">
        <f>IF(V$1&lt;DATE(2026,3,1),IFERROR(AVERAGEIFS('FTE Calculator'!$L:$L,'FTE Calculator'!$A:$A,V$1,'FTE Calculator'!$F:$F,"phone",'FTE Calculator'!$C:$C,"Matrix 1"),0),IFERROR(AVERAGEIFS('FTE Calculator'!$U:$U,'FTE Calculator'!$A:$A,V$1,'FTE Calculator'!$F:$F,"phone",'FTE Calculator'!$C:$C,"Matrix 1"),0))</f>
        <v>602.35</v>
      </c>
      <c r="W20" s="22">
        <f>IF(W$1&lt;DATE(2026,3,1),IFERROR(AVERAGEIFS('FTE Calculator'!$L:$L,'FTE Calculator'!$A:$A,W$1,'FTE Calculator'!$F:$F,"phone",'FTE Calculator'!$C:$C,"Matrix 1"),0),IFERROR(AVERAGEIFS('FTE Calculator'!$U:$U,'FTE Calculator'!$A:$A,W$1,'FTE Calculator'!$F:$F,"phone",'FTE Calculator'!$C:$C,"Matrix 1"),0))</f>
        <v>602.35</v>
      </c>
      <c r="X20" s="22">
        <f>IF(X$1&lt;DATE(2026,3,1),IFERROR(AVERAGEIFS('FTE Calculator'!$L:$L,'FTE Calculator'!$A:$A,X$1,'FTE Calculator'!$F:$F,"phone",'FTE Calculator'!$C:$C,"Matrix 1"),0),IFERROR(AVERAGEIFS('FTE Calculator'!$U:$U,'FTE Calculator'!$A:$A,X$1,'FTE Calculator'!$F:$F,"phone",'FTE Calculator'!$C:$C,"Matrix 1"),0))</f>
        <v>602.35</v>
      </c>
      <c r="Y20" s="22">
        <f>IF(Y$1&lt;DATE(2026,3,1),IFERROR(AVERAGEIFS('FTE Calculator'!$L:$L,'FTE Calculator'!$A:$A,Y$1,'FTE Calculator'!$F:$F,"phone",'FTE Calculator'!$C:$C,"Matrix 1"),0),IFERROR(AVERAGEIFS('FTE Calculator'!$U:$U,'FTE Calculator'!$A:$A,Y$1,'FTE Calculator'!$F:$F,"phone",'FTE Calculator'!$C:$C,"Matrix 1"),0))</f>
        <v>602.35</v>
      </c>
      <c r="Z20" s="22">
        <f>IF(Z$1&lt;DATE(2026,3,1),IFERROR(AVERAGEIFS('FTE Calculator'!$L:$L,'FTE Calculator'!$A:$A,Z$1,'FTE Calculator'!$F:$F,"phone",'FTE Calculator'!$C:$C,"Matrix 1"),0),IFERROR(AVERAGEIFS('FTE Calculator'!$U:$U,'FTE Calculator'!$A:$A,Z$1,'FTE Calculator'!$F:$F,"phone",'FTE Calculator'!$C:$C,"Matrix 1"),0))</f>
        <v>602.35</v>
      </c>
      <c r="AA20" s="22">
        <f>IF(AA$1&lt;DATE(2026,3,1),IFERROR(AVERAGEIFS('FTE Calculator'!$L:$L,'FTE Calculator'!$A:$A,AA$1,'FTE Calculator'!$F:$F,"phone",'FTE Calculator'!$C:$C,"Matrix 1"),0),IFERROR(AVERAGEIFS('FTE Calculator'!$U:$U,'FTE Calculator'!$A:$A,AA$1,'FTE Calculator'!$F:$F,"phone",'FTE Calculator'!$C:$C,"Matrix 1"),0))</f>
        <v>602.35</v>
      </c>
      <c r="AB20" s="32">
        <f>AVERAGE(P20:AA20)</f>
        <v>602.70333333333349</v>
      </c>
      <c r="AC20" s="22">
        <f>IF(AC$1&lt;DATE(2026,3,1),IFERROR(AVERAGEIFS('FTE Calculator'!$L:$L,'FTE Calculator'!$A:$A,AC$1,'FTE Calculator'!$F:$F,"phone",'FTE Calculator'!$C:$C,"Matrix 1"),0),IFERROR(AVERAGEIFS('FTE Calculator'!$U:$U,'FTE Calculator'!$A:$A,AC$1,'FTE Calculator'!$F:$F,"phone",'FTE Calculator'!$C:$C,"Matrix 1"),0))</f>
        <v>602.35</v>
      </c>
      <c r="AD20" s="22">
        <f>IF(AD$1&lt;DATE(2026,3,1),IFERROR(AVERAGEIFS('FTE Calculator'!$L:$L,'FTE Calculator'!$A:$A,AD$1,'FTE Calculator'!$F:$F,"phone",'FTE Calculator'!$C:$C,"Matrix 1"),0),IFERROR(AVERAGEIFS('FTE Calculator'!$U:$U,'FTE Calculator'!$A:$A,AD$1,'FTE Calculator'!$F:$F,"phone",'FTE Calculator'!$C:$C,"Matrix 1"),0))</f>
        <v>602.35</v>
      </c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</row>
    <row r="21" spans="1:700" x14ac:dyDescent="0.25">
      <c r="A21" s="23" t="s">
        <v>173</v>
      </c>
      <c r="B21" s="24"/>
      <c r="C21" s="31">
        <f>IF(C$1&lt;DATE(2026,3,1),IFERROR(AVERAGEIFS('FTE Calculator'!$L:$L,'FTE Calculator'!$A:$A,C$1,'FTE Calculator'!$F:$F,"chat",'FTE Calculator'!$L:$L,"&gt;0"),0),IFERROR(AVERAGEIFS('FTE Calculator'!$U:$U,'FTE Calculator'!$A:$A,C$1,'FTE Calculator'!$F:$F,"chat"),0))</f>
        <v>1233.81</v>
      </c>
      <c r="D21" s="31">
        <f>IF(D$1&lt;DATE(2026,3,1),IFERROR(AVERAGEIFS('FTE Calculator'!$L:$L,'FTE Calculator'!$A:$A,D$1,'FTE Calculator'!$F:$F,"chat",'FTE Calculator'!$L:$L,"&gt;0"),0),IFERROR(AVERAGEIFS('FTE Calculator'!$U:$U,'FTE Calculator'!$A:$A,D$1,'FTE Calculator'!$F:$F,"chat"),0))</f>
        <v>1232.8</v>
      </c>
      <c r="E21" s="31">
        <f>IF(E$1&lt;DATE(2026,3,1),IFERROR(AVERAGEIFS('FTE Calculator'!$L:$L,'FTE Calculator'!$A:$A,E$1,'FTE Calculator'!$F:$F,"chat",'FTE Calculator'!$L:$L,"&gt;0"),0),IFERROR(AVERAGEIFS('FTE Calculator'!$U:$U,'FTE Calculator'!$A:$A,E$1,'FTE Calculator'!$F:$F,"chat"),0))</f>
        <v>825.25</v>
      </c>
      <c r="F21" s="31">
        <f>IF(F$1&lt;DATE(2026,3,1),IFERROR(AVERAGEIFS('FTE Calculator'!$L:$L,'FTE Calculator'!$A:$A,F$1,'FTE Calculator'!$F:$F,"chat",'FTE Calculator'!$L:$L,"&gt;0"),0),IFERROR(AVERAGEIFS('FTE Calculator'!$U:$U,'FTE Calculator'!$A:$A,F$1,'FTE Calculator'!$F:$F,"chat"),0))</f>
        <v>869.91</v>
      </c>
      <c r="G21" s="31">
        <f>IF(G$1&lt;DATE(2026,3,1),IFERROR(AVERAGEIFS('FTE Calculator'!$L:$L,'FTE Calculator'!$A:$A,G$1,'FTE Calculator'!$F:$F,"chat",'FTE Calculator'!$L:$L,"&gt;0"),0),IFERROR(AVERAGEIFS('FTE Calculator'!$U:$U,'FTE Calculator'!$A:$A,G$1,'FTE Calculator'!$F:$F,"chat"),0))</f>
        <v>1253.51</v>
      </c>
      <c r="H21" s="31">
        <f>IF(H$1&lt;DATE(2026,3,1),IFERROR(AVERAGEIFS('FTE Calculator'!$L:$L,'FTE Calculator'!$A:$A,H$1,'FTE Calculator'!$F:$F,"chat",'FTE Calculator'!$L:$L,"&gt;0"),0),IFERROR(AVERAGEIFS('FTE Calculator'!$U:$U,'FTE Calculator'!$A:$A,H$1,'FTE Calculator'!$F:$F,"chat"),0))</f>
        <v>1200.56</v>
      </c>
      <c r="I21" s="31">
        <f>IF(I$1&lt;DATE(2026,3,1),IFERROR(AVERAGEIFS('FTE Calculator'!$L:$L,'FTE Calculator'!$A:$A,I$1,'FTE Calculator'!$F:$F,"chat",'FTE Calculator'!$L:$L,"&gt;0"),0),IFERROR(AVERAGEIFS('FTE Calculator'!$U:$U,'FTE Calculator'!$A:$A,I$1,'FTE Calculator'!$F:$F,"chat"),0))</f>
        <v>1145.3800000000001</v>
      </c>
      <c r="J21" s="31">
        <f>IF(J$1&lt;DATE(2026,3,1),IFERROR(AVERAGEIFS('FTE Calculator'!$L:$L,'FTE Calculator'!$A:$A,J$1,'FTE Calculator'!$F:$F,"chat",'FTE Calculator'!$L:$L,"&gt;0"),0),IFERROR(AVERAGEIFS('FTE Calculator'!$U:$U,'FTE Calculator'!$A:$A,J$1,'FTE Calculator'!$F:$F,"chat"),0))</f>
        <v>1288.17</v>
      </c>
      <c r="K21" s="31">
        <f>IF(K$1&lt;DATE(2026,3,1),IFERROR(AVERAGEIFS('FTE Calculator'!$L:$L,'FTE Calculator'!$A:$A,K$1,'FTE Calculator'!$F:$F,"chat",'FTE Calculator'!$L:$L,"&gt;0"),0),IFERROR(AVERAGEIFS('FTE Calculator'!$U:$U,'FTE Calculator'!$A:$A,K$1,'FTE Calculator'!$F:$F,"chat"),0))</f>
        <v>1206.51</v>
      </c>
      <c r="L21" s="31">
        <f>IF(L$1&lt;DATE(2026,3,1),IFERROR(AVERAGEIFS('FTE Calculator'!$L:$L,'FTE Calculator'!$A:$A,L$1,'FTE Calculator'!$F:$F,"chat",'FTE Calculator'!$L:$L,"&gt;0"),0),IFERROR(AVERAGEIFS('FTE Calculator'!$U:$U,'FTE Calculator'!$A:$A,L$1,'FTE Calculator'!$F:$F,"chat"),0))</f>
        <v>1258.95</v>
      </c>
      <c r="M21" s="31">
        <f>IF(M$1&lt;DATE(2026,3,1),IFERROR(AVERAGEIFS('FTE Calculator'!$L:$L,'FTE Calculator'!$A:$A,M$1,'FTE Calculator'!$F:$F,"chat",'FTE Calculator'!$L:$L,"&gt;0"),0),IFERROR(AVERAGEIFS('FTE Calculator'!$U:$U,'FTE Calculator'!$A:$A,M$1,'FTE Calculator'!$F:$F,"chat"),0))</f>
        <v>1620.18</v>
      </c>
      <c r="N21" s="31">
        <f>IF(N$1&lt;DATE(2026,3,1),IFERROR(AVERAGEIFS('FTE Calculator'!$L:$L,'FTE Calculator'!$A:$A,N$1,'FTE Calculator'!$F:$F,"chat",'FTE Calculator'!$L:$L,"&gt;0"),0),IFERROR(AVERAGEIFS('FTE Calculator'!$U:$U,'FTE Calculator'!$A:$A,N$1,'FTE Calculator'!$F:$F,"chat"),0))</f>
        <v>2233.1</v>
      </c>
      <c r="O21" s="32">
        <f>AVERAGE(C21:N21)</f>
        <v>1280.6775</v>
      </c>
      <c r="P21" s="31">
        <f>IF(P$1&lt;DATE(2026,3,1),IFERROR(AVERAGEIFS('FTE Calculator'!$L:$L,'FTE Calculator'!$A:$A,P$1,'FTE Calculator'!$F:$F,"chat",'FTE Calculator'!$L:$L,"&gt;0"),0),IFERROR(AVERAGEIFS('FTE Calculator'!$U:$U,'FTE Calculator'!$A:$A,P$1,'FTE Calculator'!$F:$F,"chat"),0))</f>
        <v>1788.35</v>
      </c>
      <c r="Q21" s="31">
        <f>IF(Q$1&lt;DATE(2026,3,1),IFERROR(AVERAGEIFS('FTE Calculator'!$L:$L,'FTE Calculator'!$A:$A,Q$1,'FTE Calculator'!$F:$F,"chat",'FTE Calculator'!$L:$L,"&gt;0"),0),IFERROR(AVERAGEIFS('FTE Calculator'!$U:$U,'FTE Calculator'!$A:$A,Q$1,'FTE Calculator'!$F:$F,"chat"),0))</f>
        <v>1345.79</v>
      </c>
      <c r="R21" s="31">
        <f>IF(R$1&lt;DATE(2026,3,1),IFERROR(AVERAGEIFS('FTE Calculator'!$L:$L,'FTE Calculator'!$A:$A,R$1,'FTE Calculator'!$F:$F,"chat",'FTE Calculator'!$L:$L,"&gt;0"),0),IFERROR(AVERAGEIFS('FTE Calculator'!$U:$U,'FTE Calculator'!$A:$A,R$1,'FTE Calculator'!$F:$F,"chat"),0))</f>
        <v>1789.08</v>
      </c>
      <c r="S21" s="31">
        <f>IF(S$1&lt;DATE(2026,3,1),IFERROR(AVERAGEIFS('FTE Calculator'!$L:$L,'FTE Calculator'!$A:$A,S$1,'FTE Calculator'!$F:$F,"chat",'FTE Calculator'!$L:$L,"&gt;0"),0),IFERROR(AVERAGEIFS('FTE Calculator'!$U:$U,'FTE Calculator'!$A:$A,S$1,'FTE Calculator'!$F:$F,"chat"),0))</f>
        <v>1789.08</v>
      </c>
      <c r="T21" s="31">
        <f>IF(T$1&lt;DATE(2026,3,1),IFERROR(AVERAGEIFS('FTE Calculator'!$L:$L,'FTE Calculator'!$A:$A,T$1,'FTE Calculator'!$F:$F,"chat",'FTE Calculator'!$L:$L,"&gt;0"),0),IFERROR(AVERAGEIFS('FTE Calculator'!$U:$U,'FTE Calculator'!$A:$A,T$1,'FTE Calculator'!$F:$F,"chat"),0))</f>
        <v>1789.08</v>
      </c>
      <c r="U21" s="31">
        <f>IF(U$1&lt;DATE(2026,3,1),IFERROR(AVERAGEIFS('FTE Calculator'!$L:$L,'FTE Calculator'!$A:$A,U$1,'FTE Calculator'!$F:$F,"chat",'FTE Calculator'!$L:$L,"&gt;0"),0),IFERROR(AVERAGEIFS('FTE Calculator'!$U:$U,'FTE Calculator'!$A:$A,U$1,'FTE Calculator'!$F:$F,"chat"),0))</f>
        <v>1789.08</v>
      </c>
      <c r="V21" s="31">
        <f>IF(V$1&lt;DATE(2026,3,1),IFERROR(AVERAGEIFS('FTE Calculator'!$L:$L,'FTE Calculator'!$A:$A,V$1,'FTE Calculator'!$F:$F,"chat",'FTE Calculator'!$L:$L,"&gt;0"),0),IFERROR(AVERAGEIFS('FTE Calculator'!$U:$U,'FTE Calculator'!$A:$A,V$1,'FTE Calculator'!$F:$F,"chat"),0))</f>
        <v>1789.08</v>
      </c>
      <c r="W21" s="31">
        <f>IF(W$1&lt;DATE(2026,3,1),IFERROR(AVERAGEIFS('FTE Calculator'!$L:$L,'FTE Calculator'!$A:$A,W$1,'FTE Calculator'!$F:$F,"chat",'FTE Calculator'!$L:$L,"&gt;0"),0),IFERROR(AVERAGEIFS('FTE Calculator'!$U:$U,'FTE Calculator'!$A:$A,W$1,'FTE Calculator'!$F:$F,"chat"),0))</f>
        <v>1789.08</v>
      </c>
      <c r="X21" s="31">
        <f>IF(X$1&lt;DATE(2026,3,1),IFERROR(AVERAGEIFS('FTE Calculator'!$L:$L,'FTE Calculator'!$A:$A,X$1,'FTE Calculator'!$F:$F,"chat",'FTE Calculator'!$L:$L,"&gt;0"),0),IFERROR(AVERAGEIFS('FTE Calculator'!$U:$U,'FTE Calculator'!$A:$A,X$1,'FTE Calculator'!$F:$F,"chat"),0))</f>
        <v>1789.08</v>
      </c>
      <c r="Y21" s="31">
        <f>IF(Y$1&lt;DATE(2026,3,1),IFERROR(AVERAGEIFS('FTE Calculator'!$L:$L,'FTE Calculator'!$A:$A,Y$1,'FTE Calculator'!$F:$F,"chat",'FTE Calculator'!$L:$L,"&gt;0"),0),IFERROR(AVERAGEIFS('FTE Calculator'!$U:$U,'FTE Calculator'!$A:$A,Y$1,'FTE Calculator'!$F:$F,"chat"),0))</f>
        <v>1789.08</v>
      </c>
      <c r="Z21" s="31">
        <f>IF(Z$1&lt;DATE(2026,3,1),IFERROR(AVERAGEIFS('FTE Calculator'!$L:$L,'FTE Calculator'!$A:$A,Z$1,'FTE Calculator'!$F:$F,"chat",'FTE Calculator'!$L:$L,"&gt;0"),0),IFERROR(AVERAGEIFS('FTE Calculator'!$U:$U,'FTE Calculator'!$A:$A,Z$1,'FTE Calculator'!$F:$F,"chat"),0))</f>
        <v>1789.08</v>
      </c>
      <c r="AA21" s="31">
        <f>IF(AA$1&lt;DATE(2026,3,1),IFERROR(AVERAGEIFS('FTE Calculator'!$L:$L,'FTE Calculator'!$A:$A,AA$1,'FTE Calculator'!$F:$F,"chat",'FTE Calculator'!$L:$L,"&gt;0"),0),IFERROR(AVERAGEIFS('FTE Calculator'!$U:$U,'FTE Calculator'!$A:$A,AA$1,'FTE Calculator'!$F:$F,"chat"),0))</f>
        <v>1789.08</v>
      </c>
      <c r="AB21" s="32">
        <f>AVERAGE(P21:AA21)</f>
        <v>1752.0783333333336</v>
      </c>
      <c r="AC21" s="31">
        <f>IF(AC$1&lt;DATE(2026,3,1),IFERROR(AVERAGEIFS('FTE Calculator'!$L:$L,'FTE Calculator'!$A:$A,AC$1,'FTE Calculator'!$F:$F,"chat",'FTE Calculator'!$L:$L,"&gt;0"),0),IFERROR(AVERAGEIFS('FTE Calculator'!$U:$U,'FTE Calculator'!$A:$A,AC$1,'FTE Calculator'!$F:$F,"chat"),0))</f>
        <v>1789.08</v>
      </c>
      <c r="AD21" s="31">
        <f>IF(AD$1&lt;DATE(2026,3,1),IFERROR(AVERAGEIFS('FTE Calculator'!$L:$L,'FTE Calculator'!$A:$A,AD$1,'FTE Calculator'!$F:$F,"chat",'FTE Calculator'!$L:$L,"&gt;0"),0),IFERROR(AVERAGEIFS('FTE Calculator'!$U:$U,'FTE Calculator'!$A:$A,AD$1,'FTE Calculator'!$F:$F,"chat"),0))</f>
        <v>1789.08</v>
      </c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</row>
    <row r="22" spans="1:700" x14ac:dyDescent="0.25">
      <c r="A22" s="17" t="s">
        <v>174</v>
      </c>
      <c r="B22" s="18"/>
      <c r="C22" s="22">
        <f>IFERROR(AVERAGEIFS('FTE Calculator'!$U:$U, 'FTE Calculator'!$A:$A, C$1, 'FTE Calculator'!$F:$F, "email"), 0)</f>
        <v>0</v>
      </c>
      <c r="D22" s="22">
        <f>IFERROR(AVERAGEIFS('FTE Calculator'!$U:$U, 'FTE Calculator'!$A:$A, D$1, 'FTE Calculator'!$F:$F, "email"), 0)</f>
        <v>0</v>
      </c>
      <c r="E22" s="22">
        <f>IFERROR(AVERAGEIFS('FTE Calculator'!$U:$U, 'FTE Calculator'!$A:$A, E$1, 'FTE Calculator'!$F:$F, "email"), 0)</f>
        <v>0</v>
      </c>
      <c r="F22" s="22">
        <f>IFERROR(AVERAGEIFS('FTE Calculator'!$U:$U, 'FTE Calculator'!$A:$A, F$1, 'FTE Calculator'!$F:$F, "email"), 0)</f>
        <v>0</v>
      </c>
      <c r="G22" s="22">
        <f>IFERROR(AVERAGEIFS('FTE Calculator'!$U:$U, 'FTE Calculator'!$A:$A, G$1, 'FTE Calculator'!$F:$F, "email"), 0)</f>
        <v>0</v>
      </c>
      <c r="H22" s="22">
        <f>IFERROR(AVERAGEIFS('FTE Calculator'!$U:$U, 'FTE Calculator'!$A:$A, H$1, 'FTE Calculator'!$F:$F, "email"), 0)</f>
        <v>0</v>
      </c>
      <c r="I22" s="22">
        <f>IFERROR(AVERAGEIFS('FTE Calculator'!$U:$U, 'FTE Calculator'!$A:$A, I$1, 'FTE Calculator'!$F:$F, "email"), 0)</f>
        <v>0</v>
      </c>
      <c r="J22" s="22">
        <f>IFERROR(AVERAGEIFS('FTE Calculator'!$U:$U, 'FTE Calculator'!$A:$A, J$1, 'FTE Calculator'!$F:$F, "email"), 0)</f>
        <v>0</v>
      </c>
      <c r="K22" s="22">
        <f>IFERROR(AVERAGEIFS('FTE Calculator'!$U:$U, 'FTE Calculator'!$A:$A, K$1, 'FTE Calculator'!$F:$F, "email"), 0)</f>
        <v>0</v>
      </c>
      <c r="L22" s="22">
        <f>IFERROR(AVERAGEIFS('FTE Calculator'!$U:$U, 'FTE Calculator'!$A:$A, L$1, 'FTE Calculator'!$F:$F, "email"), 0)</f>
        <v>0</v>
      </c>
      <c r="M22" s="22">
        <f>IFERROR(AVERAGEIFS('FTE Calculator'!$U:$U, 'FTE Calculator'!$A:$A, M$1, 'FTE Calculator'!$F:$F, "email"), 0)</f>
        <v>0</v>
      </c>
      <c r="N22" s="22">
        <f>IFERROR(AVERAGEIFS('FTE Calculator'!$U:$U, 'FTE Calculator'!$A:$A, N$1, 'FTE Calculator'!$F:$F, "email"), 0)</f>
        <v>0</v>
      </c>
      <c r="O22" s="32">
        <f>AVERAGE(C22:N22)</f>
        <v>0</v>
      </c>
      <c r="P22" s="22">
        <f>IFERROR(AVERAGEIFS('FTE Calculator'!$U:$U, 'FTE Calculator'!$A:$A, P$1, 'FTE Calculator'!$F:$F, "email"), 0)</f>
        <v>1080</v>
      </c>
      <c r="Q22" s="22">
        <f>IFERROR(AVERAGEIFS('FTE Calculator'!$U:$U, 'FTE Calculator'!$A:$A, Q$1, 'FTE Calculator'!$F:$F, "email"), 0)</f>
        <v>1080</v>
      </c>
      <c r="R22" s="22">
        <f>IFERROR(AVERAGEIFS('FTE Calculator'!$U:$U, 'FTE Calculator'!$A:$A, R$1, 'FTE Calculator'!$F:$F, "email"), 0)</f>
        <v>1080</v>
      </c>
      <c r="S22" s="22">
        <f>IFERROR(AVERAGEIFS('FTE Calculator'!$U:$U, 'FTE Calculator'!$A:$A, S$1, 'FTE Calculator'!$F:$F, "email"), 0)</f>
        <v>1080</v>
      </c>
      <c r="T22" s="22">
        <f>IFERROR(AVERAGEIFS('FTE Calculator'!$U:$U, 'FTE Calculator'!$A:$A, T$1, 'FTE Calculator'!$F:$F, "email"), 0)</f>
        <v>1080</v>
      </c>
      <c r="U22" s="22">
        <f>IFERROR(AVERAGEIFS('FTE Calculator'!$U:$U, 'FTE Calculator'!$A:$A, U$1, 'FTE Calculator'!$F:$F, "email"), 0)</f>
        <v>1080</v>
      </c>
      <c r="V22" s="22">
        <f>IFERROR(AVERAGEIFS('FTE Calculator'!$U:$U, 'FTE Calculator'!$A:$A, V$1, 'FTE Calculator'!$F:$F, "email"), 0)</f>
        <v>1080</v>
      </c>
      <c r="W22" s="22">
        <f>IFERROR(AVERAGEIFS('FTE Calculator'!$U:$U, 'FTE Calculator'!$A:$A, W$1, 'FTE Calculator'!$F:$F, "email"), 0)</f>
        <v>1080</v>
      </c>
      <c r="X22" s="22">
        <f>IFERROR(AVERAGEIFS('FTE Calculator'!$U:$U, 'FTE Calculator'!$A:$A, X$1, 'FTE Calculator'!$F:$F, "email"), 0)</f>
        <v>1080</v>
      </c>
      <c r="Y22" s="22">
        <f>IFERROR(AVERAGEIFS('FTE Calculator'!$U:$U, 'FTE Calculator'!$A:$A, Y$1, 'FTE Calculator'!$F:$F, "email"), 0)</f>
        <v>1080</v>
      </c>
      <c r="Z22" s="22">
        <f>IFERROR(AVERAGEIFS('FTE Calculator'!$U:$U, 'FTE Calculator'!$A:$A, Z$1, 'FTE Calculator'!$F:$F, "email"), 0)</f>
        <v>1080</v>
      </c>
      <c r="AA22" s="22">
        <f>IFERROR(AVERAGEIFS('FTE Calculator'!$U:$U, 'FTE Calculator'!$A:$A, AA$1, 'FTE Calculator'!$F:$F, "email"), 0)</f>
        <v>1080</v>
      </c>
      <c r="AB22" s="32">
        <f>AVERAGE(P22:AA22)</f>
        <v>1080</v>
      </c>
      <c r="AC22" s="22">
        <f>IFERROR(AVERAGEIFS('FTE Calculator'!$U:$U, 'FTE Calculator'!$A:$A, AC$1, 'FTE Calculator'!$F:$F, "email"), 0)</f>
        <v>0</v>
      </c>
      <c r="AD22" s="22">
        <f>IFERROR(AVERAGEIFS('FTE Calculator'!$U:$U, 'FTE Calculator'!$A:$A, AD$1, 'FTE Calculator'!$F:$F, "email"), 0)</f>
        <v>0</v>
      </c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</row>
    <row r="23" spans="1:700" x14ac:dyDescent="0.25">
      <c r="A23" s="23"/>
      <c r="B23" s="24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8"/>
      <c r="AC23" s="27"/>
      <c r="AD23" s="27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</row>
    <row r="24" spans="1:700" x14ac:dyDescent="0.25">
      <c r="A24" s="16" t="s">
        <v>93</v>
      </c>
      <c r="B24" s="16" t="s">
        <v>90</v>
      </c>
      <c r="C24" s="16">
        <v>45658</v>
      </c>
      <c r="D24" s="16">
        <v>45689</v>
      </c>
      <c r="E24" s="16">
        <v>45717</v>
      </c>
      <c r="F24" s="16">
        <v>45748</v>
      </c>
      <c r="G24" s="16">
        <v>45778</v>
      </c>
      <c r="H24" s="16">
        <v>45809</v>
      </c>
      <c r="I24" s="16">
        <v>45839</v>
      </c>
      <c r="J24" s="16">
        <v>45870</v>
      </c>
      <c r="K24" s="16">
        <v>45901</v>
      </c>
      <c r="L24" s="16">
        <v>45931</v>
      </c>
      <c r="M24" s="16">
        <v>45962</v>
      </c>
      <c r="N24" s="16">
        <v>45992</v>
      </c>
      <c r="O24" s="34" t="s">
        <v>137</v>
      </c>
      <c r="P24" s="16">
        <v>46023</v>
      </c>
      <c r="Q24" s="16">
        <v>46054</v>
      </c>
      <c r="R24" s="16">
        <v>46082</v>
      </c>
      <c r="S24" s="16">
        <v>46113</v>
      </c>
      <c r="T24" s="16">
        <v>46143</v>
      </c>
      <c r="U24" s="16">
        <v>46174</v>
      </c>
      <c r="V24" s="16">
        <v>46204</v>
      </c>
      <c r="W24" s="16">
        <v>46235</v>
      </c>
      <c r="X24" s="16">
        <v>46266</v>
      </c>
      <c r="Y24" s="16">
        <v>46296</v>
      </c>
      <c r="Z24" s="16">
        <v>46327</v>
      </c>
      <c r="AA24" s="16">
        <v>46357</v>
      </c>
      <c r="AB24" s="34" t="s">
        <v>138</v>
      </c>
      <c r="AC24" s="16">
        <v>46388</v>
      </c>
      <c r="AD24" s="16">
        <v>46419</v>
      </c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</row>
    <row r="25" spans="1:700" x14ac:dyDescent="0.25">
      <c r="A25" s="23" t="s">
        <v>89</v>
      </c>
      <c r="B25" s="24" t="s">
        <v>91</v>
      </c>
      <c r="C25" s="27">
        <f>IF(C$24&lt;DATE(2026,3,1),SUMIFS('FTE Calculator'!$AL:$AL,'FTE Calculator'!$A:$A,C$24,'FTE Calculator'!$F:$F,"email") + SUMIFS('FTE Calculator'!$AL:$AL,'FTE Calculator'!$A:$A,C$24,'FTE Calculator'!$F:$F,"web"),SUMIFS('FTE Calculator'!$AO:$AO,'FTE Calculator'!$A:$A,C$24,'FTE Calculator'!$F:$F,"email") + SUMIFS('FTE Calculator'!$AO:$AO,'FTE Calculator'!$A:$A,C$24,'FTE Calculator'!$F:$F,"web"))</f>
        <v>0</v>
      </c>
      <c r="D25" s="27">
        <f>IF(D$24&lt;DATE(2026,3,1),SUMIFS('FTE Calculator'!$AL:$AL,'FTE Calculator'!$A:$A,D$24,'FTE Calculator'!$F:$F,"email") + SUMIFS('FTE Calculator'!$AL:$AL,'FTE Calculator'!$A:$A,D$24,'FTE Calculator'!$F:$F,"web"),SUMIFS('FTE Calculator'!$AO:$AO,'FTE Calculator'!$A:$A,D$24,'FTE Calculator'!$F:$F,"email") + SUMIFS('FTE Calculator'!$AO:$AO,'FTE Calculator'!$A:$A,D$24,'FTE Calculator'!$F:$F,"web"))</f>
        <v>0</v>
      </c>
      <c r="E25" s="27">
        <f>IF(E$24&lt;DATE(2026,3,1),SUMIFS('FTE Calculator'!$AL:$AL,'FTE Calculator'!$A:$A,E$24,'FTE Calculator'!$F:$F,"email") + SUMIFS('FTE Calculator'!$AL:$AL,'FTE Calculator'!$A:$A,E$24,'FTE Calculator'!$F:$F,"web"),SUMIFS('FTE Calculator'!$AO:$AO,'FTE Calculator'!$A:$A,E$24,'FTE Calculator'!$F:$F,"email") + SUMIFS('FTE Calculator'!$AO:$AO,'FTE Calculator'!$A:$A,E$24,'FTE Calculator'!$F:$F,"web"))</f>
        <v>0</v>
      </c>
      <c r="F25" s="27">
        <f>IF(F$24&lt;DATE(2026,3,1),SUMIFS('FTE Calculator'!$AL:$AL,'FTE Calculator'!$A:$A,F$24,'FTE Calculator'!$F:$F,"email") + SUMIFS('FTE Calculator'!$AL:$AL,'FTE Calculator'!$A:$A,F$24,'FTE Calculator'!$F:$F,"web"),SUMIFS('FTE Calculator'!$AO:$AO,'FTE Calculator'!$A:$A,F$24,'FTE Calculator'!$F:$F,"email") + SUMIFS('FTE Calculator'!$AO:$AO,'FTE Calculator'!$A:$A,F$24,'FTE Calculator'!$F:$F,"web"))</f>
        <v>0</v>
      </c>
      <c r="G25" s="27">
        <f>IF(G$24&lt;DATE(2026,3,1),SUMIFS('FTE Calculator'!$AL:$AL,'FTE Calculator'!$A:$A,G$24,'FTE Calculator'!$F:$F,"email") + SUMIFS('FTE Calculator'!$AL:$AL,'FTE Calculator'!$A:$A,G$24,'FTE Calculator'!$F:$F,"web"),SUMIFS('FTE Calculator'!$AO:$AO,'FTE Calculator'!$A:$A,G$24,'FTE Calculator'!$F:$F,"email") + SUMIFS('FTE Calculator'!$AO:$AO,'FTE Calculator'!$A:$A,G$24,'FTE Calculator'!$F:$F,"web"))</f>
        <v>0</v>
      </c>
      <c r="H25" s="27">
        <f>IF(H$24&lt;DATE(2026,3,1),SUMIFS('FTE Calculator'!$AL:$AL,'FTE Calculator'!$A:$A,H$24,'FTE Calculator'!$F:$F,"email") + SUMIFS('FTE Calculator'!$AL:$AL,'FTE Calculator'!$A:$A,H$24,'FTE Calculator'!$F:$F,"web"),SUMIFS('FTE Calculator'!$AO:$AO,'FTE Calculator'!$A:$A,H$24,'FTE Calculator'!$F:$F,"email") + SUMIFS('FTE Calculator'!$AO:$AO,'FTE Calculator'!$A:$A,H$24,'FTE Calculator'!$F:$F,"web"))</f>
        <v>0</v>
      </c>
      <c r="I25" s="27">
        <f>IF(I$24&lt;DATE(2026,3,1),SUMIFS('FTE Calculator'!$AL:$AL,'FTE Calculator'!$A:$A,I$24,'FTE Calculator'!$F:$F,"email") + SUMIFS('FTE Calculator'!$AL:$AL,'FTE Calculator'!$A:$A,I$24,'FTE Calculator'!$F:$F,"web"),SUMIFS('FTE Calculator'!$AO:$AO,'FTE Calculator'!$A:$A,I$24,'FTE Calculator'!$F:$F,"email") + SUMIFS('FTE Calculator'!$AO:$AO,'FTE Calculator'!$A:$A,I$24,'FTE Calculator'!$F:$F,"web"))</f>
        <v>0</v>
      </c>
      <c r="J25" s="27">
        <f>IF(J$24&lt;DATE(2026,3,1),SUMIFS('FTE Calculator'!$AL:$AL,'FTE Calculator'!$A:$A,J$24,'FTE Calculator'!$F:$F,"email") + SUMIFS('FTE Calculator'!$AL:$AL,'FTE Calculator'!$A:$A,J$24,'FTE Calculator'!$F:$F,"web"),SUMIFS('FTE Calculator'!$AO:$AO,'FTE Calculator'!$A:$A,J$24,'FTE Calculator'!$F:$F,"email") + SUMIFS('FTE Calculator'!$AO:$AO,'FTE Calculator'!$A:$A,J$24,'FTE Calculator'!$F:$F,"web"))</f>
        <v>0</v>
      </c>
      <c r="K25" s="27">
        <f>IF(K$24&lt;DATE(2026,3,1),SUMIFS('FTE Calculator'!$AL:$AL,'FTE Calculator'!$A:$A,K$24,'FTE Calculator'!$F:$F,"email") + SUMIFS('FTE Calculator'!$AL:$AL,'FTE Calculator'!$A:$A,K$24,'FTE Calculator'!$F:$F,"web"),SUMIFS('FTE Calculator'!$AO:$AO,'FTE Calculator'!$A:$A,K$24,'FTE Calculator'!$F:$F,"email") + SUMIFS('FTE Calculator'!$AO:$AO,'FTE Calculator'!$A:$A,K$24,'FTE Calculator'!$F:$F,"web"))</f>
        <v>0</v>
      </c>
      <c r="L25" s="27">
        <f>IF(L$24&lt;DATE(2026,3,1),SUMIFS('FTE Calculator'!$AL:$AL,'FTE Calculator'!$A:$A,L$24,'FTE Calculator'!$F:$F,"email") + SUMIFS('FTE Calculator'!$AL:$AL,'FTE Calculator'!$A:$A,L$24,'FTE Calculator'!$F:$F,"web"),SUMIFS('FTE Calculator'!$AO:$AO,'FTE Calculator'!$A:$A,L$24,'FTE Calculator'!$F:$F,"email") + SUMIFS('FTE Calculator'!$AO:$AO,'FTE Calculator'!$A:$A,L$24,'FTE Calculator'!$F:$F,"web"))</f>
        <v>0</v>
      </c>
      <c r="M25" s="27">
        <f>IF(M$24&lt;DATE(2026,3,1),SUMIFS('FTE Calculator'!$AL:$AL,'FTE Calculator'!$A:$A,M$24,'FTE Calculator'!$F:$F,"email") + SUMIFS('FTE Calculator'!$AL:$AL,'FTE Calculator'!$A:$A,M$24,'FTE Calculator'!$F:$F,"web"),SUMIFS('FTE Calculator'!$AO:$AO,'FTE Calculator'!$A:$A,M$24,'FTE Calculator'!$F:$F,"email") + SUMIFS('FTE Calculator'!$AO:$AO,'FTE Calculator'!$A:$A,M$24,'FTE Calculator'!$F:$F,"web"))</f>
        <v>0</v>
      </c>
      <c r="N25" s="27">
        <f>IF(N$24&lt;DATE(2026,3,1),SUMIFS('FTE Calculator'!$AL:$AL,'FTE Calculator'!$A:$A,N$24,'FTE Calculator'!$F:$F,"email") + SUMIFS('FTE Calculator'!$AL:$AL,'FTE Calculator'!$A:$A,N$24,'FTE Calculator'!$F:$F,"web"),SUMIFS('FTE Calculator'!$AO:$AO,'FTE Calculator'!$A:$A,N$24,'FTE Calculator'!$F:$F,"email") + SUMIFS('FTE Calculator'!$AO:$AO,'FTE Calculator'!$A:$A,N$24,'FTE Calculator'!$F:$F,"web"))</f>
        <v>0</v>
      </c>
      <c r="O25" s="28">
        <f t="shared" ref="O25:O37" si="8">AVERAGE(C25:N25)</f>
        <v>0</v>
      </c>
      <c r="P25" s="27">
        <f>IF(P$24&lt;DATE(2026,3,1),SUMIFS('FTE Calculator'!$AL:$AL,'FTE Calculator'!$A:$A,P$24,'FTE Calculator'!$F:$F,"email") + SUMIFS('FTE Calculator'!$AL:$AL,'FTE Calculator'!$A:$A,P$24,'FTE Calculator'!$F:$F,"web"),SUMIFS('FTE Calculator'!$AO:$AO,'FTE Calculator'!$A:$A,P$24,'FTE Calculator'!$F:$F,"email") + SUMIFS('FTE Calculator'!$AO:$AO,'FTE Calculator'!$A:$A,P$24,'FTE Calculator'!$F:$F,"web"))</f>
        <v>0</v>
      </c>
      <c r="Q25" s="27">
        <f>IF(Q$24&lt;DATE(2026,3,1),SUMIFS('FTE Calculator'!$AL:$AL,'FTE Calculator'!$A:$A,Q$24,'FTE Calculator'!$F:$F,"email") + SUMIFS('FTE Calculator'!$AL:$AL,'FTE Calculator'!$A:$A,Q$24,'FTE Calculator'!$F:$F,"web"),SUMIFS('FTE Calculator'!$AO:$AO,'FTE Calculator'!$A:$A,Q$24,'FTE Calculator'!$F:$F,"email") + SUMIFS('FTE Calculator'!$AO:$AO,'FTE Calculator'!$A:$A,Q$24,'FTE Calculator'!$F:$F,"web"))</f>
        <v>0</v>
      </c>
      <c r="R25" s="27">
        <f>IF(R$24&lt;DATE(2026,3,1),SUMIFS('FTE Calculator'!$AL:$AL,'FTE Calculator'!$A:$A,R$24,'FTE Calculator'!$F:$F,"email") + SUMIFS('FTE Calculator'!$AL:$AL,'FTE Calculator'!$A:$A,R$24,'FTE Calculator'!$F:$F,"web"),SUMIFS('FTE Calculator'!$AO:$AO,'FTE Calculator'!$A:$A,R$24,'FTE Calculator'!$F:$F,"email") + SUMIFS('FTE Calculator'!$AO:$AO,'FTE Calculator'!$A:$A,R$24,'FTE Calculator'!$F:$F,"web"))</f>
        <v>0</v>
      </c>
      <c r="S25" s="27">
        <f>IF(S$24&lt;DATE(2026,3,1),SUMIFS('FTE Calculator'!$AL:$AL,'FTE Calculator'!$A:$A,S$24,'FTE Calculator'!$F:$F,"email") + SUMIFS('FTE Calculator'!$AL:$AL,'FTE Calculator'!$A:$A,S$24,'FTE Calculator'!$F:$F,"web"),SUMIFS('FTE Calculator'!$AO:$AO,'FTE Calculator'!$A:$A,S$24,'FTE Calculator'!$F:$F,"email") + SUMIFS('FTE Calculator'!$AO:$AO,'FTE Calculator'!$A:$A,S$24,'FTE Calculator'!$F:$F,"web"))</f>
        <v>0.1</v>
      </c>
      <c r="T25" s="27">
        <f>IF(T$24&lt;DATE(2026,3,1),SUMIFS('FTE Calculator'!$AL:$AL,'FTE Calculator'!$A:$A,T$24,'FTE Calculator'!$F:$F,"email") + SUMIFS('FTE Calculator'!$AL:$AL,'FTE Calculator'!$A:$A,T$24,'FTE Calculator'!$F:$F,"web"),SUMIFS('FTE Calculator'!$AO:$AO,'FTE Calculator'!$A:$A,T$24,'FTE Calculator'!$F:$F,"email") + SUMIFS('FTE Calculator'!$AO:$AO,'FTE Calculator'!$A:$A,T$24,'FTE Calculator'!$F:$F,"web"))</f>
        <v>0.11</v>
      </c>
      <c r="U25" s="27">
        <f>IF(U$24&lt;DATE(2026,3,1),SUMIFS('FTE Calculator'!$AL:$AL,'FTE Calculator'!$A:$A,U$24,'FTE Calculator'!$F:$F,"email") + SUMIFS('FTE Calculator'!$AL:$AL,'FTE Calculator'!$A:$A,U$24,'FTE Calculator'!$F:$F,"web"),SUMIFS('FTE Calculator'!$AO:$AO,'FTE Calculator'!$A:$A,U$24,'FTE Calculator'!$F:$F,"email") + SUMIFS('FTE Calculator'!$AO:$AO,'FTE Calculator'!$A:$A,U$24,'FTE Calculator'!$F:$F,"web"))</f>
        <v>7.0000000000000007E-2</v>
      </c>
      <c r="V25" s="27">
        <f>IF(V$24&lt;DATE(2026,3,1),SUMIFS('FTE Calculator'!$AL:$AL,'FTE Calculator'!$A:$A,V$24,'FTE Calculator'!$F:$F,"email") + SUMIFS('FTE Calculator'!$AL:$AL,'FTE Calculator'!$A:$A,V$24,'FTE Calculator'!$F:$F,"web"),SUMIFS('FTE Calculator'!$AO:$AO,'FTE Calculator'!$A:$A,V$24,'FTE Calculator'!$F:$F,"email") + SUMIFS('FTE Calculator'!$AO:$AO,'FTE Calculator'!$A:$A,V$24,'FTE Calculator'!$F:$F,"web"))</f>
        <v>7.0000000000000007E-2</v>
      </c>
      <c r="W25" s="27">
        <f>IF(W$24&lt;DATE(2026,3,1),SUMIFS('FTE Calculator'!$AL:$AL,'FTE Calculator'!$A:$A,W$24,'FTE Calculator'!$F:$F,"email") + SUMIFS('FTE Calculator'!$AL:$AL,'FTE Calculator'!$A:$A,W$24,'FTE Calculator'!$F:$F,"web"),SUMIFS('FTE Calculator'!$AO:$AO,'FTE Calculator'!$A:$A,W$24,'FTE Calculator'!$F:$F,"email") + SUMIFS('FTE Calculator'!$AO:$AO,'FTE Calculator'!$A:$A,W$24,'FTE Calculator'!$F:$F,"web"))</f>
        <v>7.0000000000000007E-2</v>
      </c>
      <c r="X25" s="27">
        <f>IF(X$24&lt;DATE(2026,3,1),SUMIFS('FTE Calculator'!$AL:$AL,'FTE Calculator'!$A:$A,X$24,'FTE Calculator'!$F:$F,"email") + SUMIFS('FTE Calculator'!$AL:$AL,'FTE Calculator'!$A:$A,X$24,'FTE Calculator'!$F:$F,"web"),SUMIFS('FTE Calculator'!$AO:$AO,'FTE Calculator'!$A:$A,X$24,'FTE Calculator'!$F:$F,"email") + SUMIFS('FTE Calculator'!$AO:$AO,'FTE Calculator'!$A:$A,X$24,'FTE Calculator'!$F:$F,"web"))</f>
        <v>7.0000000000000007E-2</v>
      </c>
      <c r="Y25" s="27">
        <f>IF(Y$24&lt;DATE(2026,3,1),SUMIFS('FTE Calculator'!$AL:$AL,'FTE Calculator'!$A:$A,Y$24,'FTE Calculator'!$F:$F,"email") + SUMIFS('FTE Calculator'!$AL:$AL,'FTE Calculator'!$A:$A,Y$24,'FTE Calculator'!$F:$F,"web"),SUMIFS('FTE Calculator'!$AO:$AO,'FTE Calculator'!$A:$A,Y$24,'FTE Calculator'!$F:$F,"email") + SUMIFS('FTE Calculator'!$AO:$AO,'FTE Calculator'!$A:$A,Y$24,'FTE Calculator'!$F:$F,"web"))</f>
        <v>7.0000000000000007E-2</v>
      </c>
      <c r="Z25" s="27">
        <f>IF(Z$24&lt;DATE(2026,3,1),SUMIFS('FTE Calculator'!$AL:$AL,'FTE Calculator'!$A:$A,Z$24,'FTE Calculator'!$F:$F,"email") + SUMIFS('FTE Calculator'!$AL:$AL,'FTE Calculator'!$A:$A,Z$24,'FTE Calculator'!$F:$F,"web"),SUMIFS('FTE Calculator'!$AO:$AO,'FTE Calculator'!$A:$A,Z$24,'FTE Calculator'!$F:$F,"email") + SUMIFS('FTE Calculator'!$AO:$AO,'FTE Calculator'!$A:$A,Z$24,'FTE Calculator'!$F:$F,"web"))</f>
        <v>0.08</v>
      </c>
      <c r="AA25" s="27">
        <f>IF(AA$24&lt;DATE(2026,3,1),SUMIFS('FTE Calculator'!$AL:$AL,'FTE Calculator'!$A:$A,AA$24,'FTE Calculator'!$F:$F,"email") + SUMIFS('FTE Calculator'!$AL:$AL,'FTE Calculator'!$A:$A,AA$24,'FTE Calculator'!$F:$F,"web"),SUMIFS('FTE Calculator'!$AO:$AO,'FTE Calculator'!$A:$A,AA$24,'FTE Calculator'!$F:$F,"email") + SUMIFS('FTE Calculator'!$AO:$AO,'FTE Calculator'!$A:$A,AA$24,'FTE Calculator'!$F:$F,"web"))</f>
        <v>7.0000000000000007E-2</v>
      </c>
      <c r="AB25" s="28">
        <f t="shared" ref="AB25:AB37" si="9">AVERAGE(P25:AA25)</f>
        <v>5.9166666666666666E-2</v>
      </c>
      <c r="AC25" s="27">
        <f>IF(AC$24&lt;DATE(2026,3,1),SUMIFS('FTE Calculator'!$AL:$AL,'FTE Calculator'!$A:$A,AC$24,'FTE Calculator'!$F:$F,"email") + SUMIFS('FTE Calculator'!$AL:$AL,'FTE Calculator'!$A:$A,AC$24,'FTE Calculator'!$F:$F,"web"),SUMIFS('FTE Calculator'!$AO:$AO,'FTE Calculator'!$A:$A,AC$24,'FTE Calculator'!$F:$F,"email") + SUMIFS('FTE Calculator'!$AO:$AO,'FTE Calculator'!$A:$A,AC$24,'FTE Calculator'!$F:$F,"web"))</f>
        <v>0</v>
      </c>
      <c r="AD25" s="27">
        <f>IF(AD$24&lt;DATE(2026,3,1),SUMIFS('FTE Calculator'!$AL:$AL,'FTE Calculator'!$A:$A,AD$24,'FTE Calculator'!$F:$F,"email") + SUMIFS('FTE Calculator'!$AL:$AL,'FTE Calculator'!$A:$A,AD$24,'FTE Calculator'!$F:$F,"web"),SUMIFS('FTE Calculator'!$AO:$AO,'FTE Calculator'!$A:$A,AD$24,'FTE Calculator'!$F:$F,"email") + SUMIFS('FTE Calculator'!$AO:$AO,'FTE Calculator'!$A:$A,AD$24,'FTE Calculator'!$F:$F,"web"))</f>
        <v>0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</row>
    <row r="26" spans="1:700" x14ac:dyDescent="0.25">
      <c r="A26" s="17" t="s">
        <v>32</v>
      </c>
      <c r="B26" s="18" t="s">
        <v>98</v>
      </c>
      <c r="C26" s="20">
        <f>IF(C$24&lt;DATE(2026,3,1),SUMIFS('FTE Calculator'!$AL:$AL,'FTE Calculator'!$A:$A,C$24,'FTE Calculator'!$C:$C,"Answerlink",'FTE Calculator'!$F:$F,"chat"),SUMIFS('FTE Calculator'!$AO:$AO,'FTE Calculator'!$A:$A,C$24,'FTE Calculator'!$C:$C,"Answerlink",'FTE Calculator'!$F:$F,"chat"))</f>
        <v>1.79</v>
      </c>
      <c r="D26" s="20">
        <f>IF(D$24&lt;DATE(2026,3,1),SUMIFS('FTE Calculator'!$AL:$AL,'FTE Calculator'!$A:$A,D$24,'FTE Calculator'!$C:$C,"Answerlink",'FTE Calculator'!$F:$F,"chat"),SUMIFS('FTE Calculator'!$AO:$AO,'FTE Calculator'!$A:$A,D$24,'FTE Calculator'!$C:$C,"Answerlink",'FTE Calculator'!$F:$F,"chat"))</f>
        <v>1.65</v>
      </c>
      <c r="E26" s="20">
        <f>IF(E$24&lt;DATE(2026,3,1),SUMIFS('FTE Calculator'!$AL:$AL,'FTE Calculator'!$A:$A,E$24,'FTE Calculator'!$C:$C,"Answerlink",'FTE Calculator'!$F:$F,"chat"),SUMIFS('FTE Calculator'!$AO:$AO,'FTE Calculator'!$A:$A,E$24,'FTE Calculator'!$C:$C,"Answerlink",'FTE Calculator'!$F:$F,"chat"))</f>
        <v>1.05</v>
      </c>
      <c r="F26" s="20">
        <f>IF(F$24&lt;DATE(2026,3,1),SUMIFS('FTE Calculator'!$AL:$AL,'FTE Calculator'!$A:$A,F$24,'FTE Calculator'!$C:$C,"Answerlink",'FTE Calculator'!$F:$F,"chat"),SUMIFS('FTE Calculator'!$AO:$AO,'FTE Calculator'!$A:$A,F$24,'FTE Calculator'!$C:$C,"Answerlink",'FTE Calculator'!$F:$F,"chat"))</f>
        <v>1.01</v>
      </c>
      <c r="G26" s="20">
        <f>IF(G$24&lt;DATE(2026,3,1),SUMIFS('FTE Calculator'!$AL:$AL,'FTE Calculator'!$A:$A,G$24,'FTE Calculator'!$C:$C,"Answerlink",'FTE Calculator'!$F:$F,"chat"),SUMIFS('FTE Calculator'!$AO:$AO,'FTE Calculator'!$A:$A,G$24,'FTE Calculator'!$C:$C,"Answerlink",'FTE Calculator'!$F:$F,"chat"))</f>
        <v>1.61</v>
      </c>
      <c r="H26" s="20">
        <f>IF(H$24&lt;DATE(2026,3,1),SUMIFS('FTE Calculator'!$AL:$AL,'FTE Calculator'!$A:$A,H$24,'FTE Calculator'!$C:$C,"Answerlink",'FTE Calculator'!$F:$F,"chat"),SUMIFS('FTE Calculator'!$AO:$AO,'FTE Calculator'!$A:$A,H$24,'FTE Calculator'!$C:$C,"Answerlink",'FTE Calculator'!$F:$F,"chat"))</f>
        <v>1.69</v>
      </c>
      <c r="I26" s="20">
        <f>IF(I$24&lt;DATE(2026,3,1),SUMIFS('FTE Calculator'!$AL:$AL,'FTE Calculator'!$A:$A,I$24,'FTE Calculator'!$C:$C,"Answerlink",'FTE Calculator'!$F:$F,"chat"),SUMIFS('FTE Calculator'!$AO:$AO,'FTE Calculator'!$A:$A,I$24,'FTE Calculator'!$C:$C,"Answerlink",'FTE Calculator'!$F:$F,"chat"))</f>
        <v>1.54</v>
      </c>
      <c r="J26" s="20">
        <f>IF(J$24&lt;DATE(2026,3,1),SUMIFS('FTE Calculator'!$AL:$AL,'FTE Calculator'!$A:$A,J$24,'FTE Calculator'!$C:$C,"Answerlink",'FTE Calculator'!$F:$F,"chat"),SUMIFS('FTE Calculator'!$AO:$AO,'FTE Calculator'!$A:$A,J$24,'FTE Calculator'!$C:$C,"Answerlink",'FTE Calculator'!$F:$F,"chat"))</f>
        <v>1.1599999999999999</v>
      </c>
      <c r="K26" s="20">
        <f>IF(K$24&lt;DATE(2026,3,1),SUMIFS('FTE Calculator'!$AL:$AL,'FTE Calculator'!$A:$A,K$24,'FTE Calculator'!$C:$C,"Answerlink",'FTE Calculator'!$F:$F,"chat"),SUMIFS('FTE Calculator'!$AO:$AO,'FTE Calculator'!$A:$A,K$24,'FTE Calculator'!$C:$C,"Answerlink",'FTE Calculator'!$F:$F,"chat"))</f>
        <v>1.59</v>
      </c>
      <c r="L26" s="20">
        <f>IF(L$24&lt;DATE(2026,3,1),SUMIFS('FTE Calculator'!$AL:$AL,'FTE Calculator'!$A:$A,L$24,'FTE Calculator'!$C:$C,"Answerlink",'FTE Calculator'!$F:$F,"chat"),SUMIFS('FTE Calculator'!$AO:$AO,'FTE Calculator'!$A:$A,L$24,'FTE Calculator'!$C:$C,"Answerlink",'FTE Calculator'!$F:$F,"chat"))</f>
        <v>1.33</v>
      </c>
      <c r="M26" s="20">
        <f>IF(M$24&lt;DATE(2026,3,1),SUMIFS('FTE Calculator'!$AL:$AL,'FTE Calculator'!$A:$A,M$24,'FTE Calculator'!$C:$C,"Answerlink",'FTE Calculator'!$F:$F,"chat"),SUMIFS('FTE Calculator'!$AO:$AO,'FTE Calculator'!$A:$A,M$24,'FTE Calculator'!$C:$C,"Answerlink",'FTE Calculator'!$F:$F,"chat"))</f>
        <v>0.84</v>
      </c>
      <c r="N26" s="20">
        <f>IF(N$24&lt;DATE(2026,3,1),SUMIFS('FTE Calculator'!$AL:$AL,'FTE Calculator'!$A:$A,N$24,'FTE Calculator'!$C:$C,"Answerlink",'FTE Calculator'!$F:$F,"chat"),SUMIFS('FTE Calculator'!$AO:$AO,'FTE Calculator'!$A:$A,N$24,'FTE Calculator'!$C:$C,"Answerlink",'FTE Calculator'!$F:$F,"chat"))</f>
        <v>0.92</v>
      </c>
      <c r="O26" s="28">
        <f t="shared" si="8"/>
        <v>1.3483333333333334</v>
      </c>
      <c r="P26" s="20">
        <f>IF(P$24&lt;DATE(2026,3,1),SUMIFS('FTE Calculator'!$AL:$AL,'FTE Calculator'!$A:$A,P$24,'FTE Calculator'!$C:$C,"Answerlink",'FTE Calculator'!$F:$F,"chat"),SUMIFS('FTE Calculator'!$AO:$AO,'FTE Calculator'!$A:$A,P$24,'FTE Calculator'!$C:$C,"Answerlink",'FTE Calculator'!$F:$F,"chat"))</f>
        <v>1.01</v>
      </c>
      <c r="Q26" s="20">
        <f>IF(Q$24&lt;DATE(2026,3,1),SUMIFS('FTE Calculator'!$AL:$AL,'FTE Calculator'!$A:$A,Q$24,'FTE Calculator'!$C:$C,"Answerlink",'FTE Calculator'!$F:$F,"chat"),SUMIFS('FTE Calculator'!$AO:$AO,'FTE Calculator'!$A:$A,Q$24,'FTE Calculator'!$C:$C,"Answerlink",'FTE Calculator'!$F:$F,"chat"))</f>
        <v>0.8</v>
      </c>
      <c r="R26" s="20">
        <f>IF(R$24&lt;DATE(2026,3,1),SUMIFS('FTE Calculator'!$AL:$AL,'FTE Calculator'!$A:$A,R$24,'FTE Calculator'!$C:$C,"Answerlink",'FTE Calculator'!$F:$F,"chat"),SUMIFS('FTE Calculator'!$AO:$AO,'FTE Calculator'!$A:$A,R$24,'FTE Calculator'!$C:$C,"Answerlink",'FTE Calculator'!$F:$F,"chat"))</f>
        <v>0.99</v>
      </c>
      <c r="S26" s="20">
        <f>IF(S$24&lt;DATE(2026,3,1),SUMIFS('FTE Calculator'!$AL:$AL,'FTE Calculator'!$A:$A,S$24,'FTE Calculator'!$C:$C,"Answerlink",'FTE Calculator'!$F:$F,"chat"),SUMIFS('FTE Calculator'!$AO:$AO,'FTE Calculator'!$A:$A,S$24,'FTE Calculator'!$C:$C,"Answerlink",'FTE Calculator'!$F:$F,"chat"))</f>
        <v>1</v>
      </c>
      <c r="T26" s="20">
        <f>IF(T$24&lt;DATE(2026,3,1),SUMIFS('FTE Calculator'!$AL:$AL,'FTE Calculator'!$A:$A,T$24,'FTE Calculator'!$C:$C,"Answerlink",'FTE Calculator'!$F:$F,"chat"),SUMIFS('FTE Calculator'!$AO:$AO,'FTE Calculator'!$A:$A,T$24,'FTE Calculator'!$C:$C,"Answerlink",'FTE Calculator'!$F:$F,"chat"))</f>
        <v>1.23</v>
      </c>
      <c r="U26" s="20">
        <f>IF(U$24&lt;DATE(2026,3,1),SUMIFS('FTE Calculator'!$AL:$AL,'FTE Calculator'!$A:$A,U$24,'FTE Calculator'!$C:$C,"Answerlink",'FTE Calculator'!$F:$F,"chat"),SUMIFS('FTE Calculator'!$AO:$AO,'FTE Calculator'!$A:$A,U$24,'FTE Calculator'!$C:$C,"Answerlink",'FTE Calculator'!$F:$F,"chat"))</f>
        <v>1.26</v>
      </c>
      <c r="V26" s="20">
        <f>IF(V$24&lt;DATE(2026,3,1),SUMIFS('FTE Calculator'!$AL:$AL,'FTE Calculator'!$A:$A,V$24,'FTE Calculator'!$C:$C,"Answerlink",'FTE Calculator'!$F:$F,"chat"),SUMIFS('FTE Calculator'!$AO:$AO,'FTE Calculator'!$A:$A,V$24,'FTE Calculator'!$C:$C,"Answerlink",'FTE Calculator'!$F:$F,"chat"))</f>
        <v>1.1299999999999999</v>
      </c>
      <c r="W26" s="20">
        <f>IF(W$24&lt;DATE(2026,3,1),SUMIFS('FTE Calculator'!$AL:$AL,'FTE Calculator'!$A:$A,W$24,'FTE Calculator'!$C:$C,"Answerlink",'FTE Calculator'!$F:$F,"chat"),SUMIFS('FTE Calculator'!$AO:$AO,'FTE Calculator'!$A:$A,W$24,'FTE Calculator'!$C:$C,"Answerlink",'FTE Calculator'!$F:$F,"chat"))</f>
        <v>1.1599999999999999</v>
      </c>
      <c r="X26" s="20">
        <f>IF(X$24&lt;DATE(2026,3,1),SUMIFS('FTE Calculator'!$AL:$AL,'FTE Calculator'!$A:$A,X$24,'FTE Calculator'!$C:$C,"Answerlink",'FTE Calculator'!$F:$F,"chat"),SUMIFS('FTE Calculator'!$AO:$AO,'FTE Calculator'!$A:$A,X$24,'FTE Calculator'!$C:$C,"Answerlink",'FTE Calculator'!$F:$F,"chat"))</f>
        <v>1.1599999999999999</v>
      </c>
      <c r="Y26" s="20">
        <f>IF(Y$24&lt;DATE(2026,3,1),SUMIFS('FTE Calculator'!$AL:$AL,'FTE Calculator'!$A:$A,Y$24,'FTE Calculator'!$C:$C,"Answerlink",'FTE Calculator'!$F:$F,"chat"),SUMIFS('FTE Calculator'!$AO:$AO,'FTE Calculator'!$A:$A,Y$24,'FTE Calculator'!$C:$C,"Answerlink",'FTE Calculator'!$F:$F,"chat"))</f>
        <v>1.0900000000000001</v>
      </c>
      <c r="Z26" s="20">
        <f>IF(Z$24&lt;DATE(2026,3,1),SUMIFS('FTE Calculator'!$AL:$AL,'FTE Calculator'!$A:$A,Z$24,'FTE Calculator'!$C:$C,"Answerlink",'FTE Calculator'!$F:$F,"chat"),SUMIFS('FTE Calculator'!$AO:$AO,'FTE Calculator'!$A:$A,Z$24,'FTE Calculator'!$C:$C,"Answerlink",'FTE Calculator'!$F:$F,"chat"))</f>
        <v>1.1100000000000001</v>
      </c>
      <c r="AA26" s="20">
        <f>IF(AA$24&lt;DATE(2026,3,1),SUMIFS('FTE Calculator'!$AL:$AL,'FTE Calculator'!$A:$A,AA$24,'FTE Calculator'!$C:$C,"Answerlink",'FTE Calculator'!$F:$F,"chat"),SUMIFS('FTE Calculator'!$AO:$AO,'FTE Calculator'!$A:$A,AA$24,'FTE Calculator'!$C:$C,"Answerlink",'FTE Calculator'!$F:$F,"chat"))</f>
        <v>1.21</v>
      </c>
      <c r="AB26" s="28">
        <f t="shared" si="9"/>
        <v>1.0958333333333332</v>
      </c>
      <c r="AC26" s="20">
        <f>IF(AC$24&lt;DATE(2026,3,1),SUMIFS('FTE Calculator'!$AL:$AL,'FTE Calculator'!$A:$A,AC$24,'FTE Calculator'!$C:$C,"Answerlink",'FTE Calculator'!$F:$F,"chat"),SUMIFS('FTE Calculator'!$AO:$AO,'FTE Calculator'!$A:$A,AC$24,'FTE Calculator'!$C:$C,"Answerlink",'FTE Calculator'!$F:$F,"chat"))</f>
        <v>1.01</v>
      </c>
      <c r="AD26" s="20">
        <f>IF(AD$24&lt;DATE(2026,3,1),SUMIFS('FTE Calculator'!$AL:$AL,'FTE Calculator'!$A:$A,AD$24,'FTE Calculator'!$C:$C,"Answerlink",'FTE Calculator'!$F:$F,"chat"),SUMIFS('FTE Calculator'!$AO:$AO,'FTE Calculator'!$A:$A,AD$24,'FTE Calculator'!$C:$C,"Answerlink",'FTE Calculator'!$F:$F,"chat"))</f>
        <v>1.01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</row>
    <row r="27" spans="1:700" x14ac:dyDescent="0.25">
      <c r="A27" s="23" t="s">
        <v>33</v>
      </c>
      <c r="B27" s="24" t="s">
        <v>92</v>
      </c>
      <c r="C27" s="27">
        <f>IF(C$24&lt;DATE(2026,3,1),SUMIFS('FTE Calculator'!$AL:$AL,'FTE Calculator'!$A:$A,C$24,'FTE Calculator'!$C:$C,"AmerDisAct",'FTE Calculator'!$F:$F,"phone"),SUMIFS('FTE Calculator'!$AO:$AO,'FTE Calculator'!$A:$A,C$24,'FTE Calculator'!$C:$C,"AmerDisAct",'FTE Calculator'!$F:$F,"phone"))</f>
        <v>0.32</v>
      </c>
      <c r="D27" s="27">
        <f>IF(D$24&lt;DATE(2026,3,1),SUMIFS('FTE Calculator'!$AL:$AL,'FTE Calculator'!$A:$A,D$24,'FTE Calculator'!$C:$C,"AmerDisAct",'FTE Calculator'!$F:$F,"phone"),SUMIFS('FTE Calculator'!$AO:$AO,'FTE Calculator'!$A:$A,D$24,'FTE Calculator'!$C:$C,"AmerDisAct",'FTE Calculator'!$F:$F,"phone"))</f>
        <v>0.06</v>
      </c>
      <c r="E27" s="27">
        <f>IF(E$24&lt;DATE(2026,3,1),SUMIFS('FTE Calculator'!$AL:$AL,'FTE Calculator'!$A:$A,E$24,'FTE Calculator'!$C:$C,"AmerDisAct",'FTE Calculator'!$F:$F,"phone"),SUMIFS('FTE Calculator'!$AO:$AO,'FTE Calculator'!$A:$A,E$24,'FTE Calculator'!$C:$C,"AmerDisAct",'FTE Calculator'!$F:$F,"phone"))</f>
        <v>0.04</v>
      </c>
      <c r="F27" s="27">
        <f>IF(F$24&lt;DATE(2026,3,1),SUMIFS('FTE Calculator'!$AL:$AL,'FTE Calculator'!$A:$A,F$24,'FTE Calculator'!$C:$C,"AmerDisAct",'FTE Calculator'!$F:$F,"phone"),SUMIFS('FTE Calculator'!$AO:$AO,'FTE Calculator'!$A:$A,F$24,'FTE Calculator'!$C:$C,"AmerDisAct",'FTE Calculator'!$F:$F,"phone"))</f>
        <v>7.0000000000000007E-2</v>
      </c>
      <c r="G27" s="27">
        <f>IF(G$24&lt;DATE(2026,3,1),SUMIFS('FTE Calculator'!$AL:$AL,'FTE Calculator'!$A:$A,G$24,'FTE Calculator'!$C:$C,"AmerDisAct",'FTE Calculator'!$F:$F,"phone"),SUMIFS('FTE Calculator'!$AO:$AO,'FTE Calculator'!$A:$A,G$24,'FTE Calculator'!$C:$C,"AmerDisAct",'FTE Calculator'!$F:$F,"phone"))</f>
        <v>0.02</v>
      </c>
      <c r="H27" s="27">
        <f>IF(H$24&lt;DATE(2026,3,1),SUMIFS('FTE Calculator'!$AL:$AL,'FTE Calculator'!$A:$A,H$24,'FTE Calculator'!$C:$C,"AmerDisAct",'FTE Calculator'!$F:$F,"phone"),SUMIFS('FTE Calculator'!$AO:$AO,'FTE Calculator'!$A:$A,H$24,'FTE Calculator'!$C:$C,"AmerDisAct",'FTE Calculator'!$F:$F,"phone"))</f>
        <v>0.04</v>
      </c>
      <c r="I27" s="27">
        <f>IF(I$24&lt;DATE(2026,3,1),SUMIFS('FTE Calculator'!$AL:$AL,'FTE Calculator'!$A:$A,I$24,'FTE Calculator'!$C:$C,"AmerDisAct",'FTE Calculator'!$F:$F,"phone"),SUMIFS('FTE Calculator'!$AO:$AO,'FTE Calculator'!$A:$A,I$24,'FTE Calculator'!$C:$C,"AmerDisAct",'FTE Calculator'!$F:$F,"phone"))</f>
        <v>0.09</v>
      </c>
      <c r="J27" s="27">
        <f>IF(J$24&lt;DATE(2026,3,1),SUMIFS('FTE Calculator'!$AL:$AL,'FTE Calculator'!$A:$A,J$24,'FTE Calculator'!$C:$C,"AmerDisAct",'FTE Calculator'!$F:$F,"phone"),SUMIFS('FTE Calculator'!$AO:$AO,'FTE Calculator'!$A:$A,J$24,'FTE Calculator'!$C:$C,"AmerDisAct",'FTE Calculator'!$F:$F,"phone"))</f>
        <v>0.05</v>
      </c>
      <c r="K27" s="27">
        <f>IF(K$24&lt;DATE(2026,3,1),SUMIFS('FTE Calculator'!$AL:$AL,'FTE Calculator'!$A:$A,K$24,'FTE Calculator'!$C:$C,"AmerDisAct",'FTE Calculator'!$F:$F,"phone"),SUMIFS('FTE Calculator'!$AO:$AO,'FTE Calculator'!$A:$A,K$24,'FTE Calculator'!$C:$C,"AmerDisAct",'FTE Calculator'!$F:$F,"phone"))</f>
        <v>0.03</v>
      </c>
      <c r="L27" s="27">
        <f>IF(L$24&lt;DATE(2026,3,1),SUMIFS('FTE Calculator'!$AL:$AL,'FTE Calculator'!$A:$A,L$24,'FTE Calculator'!$C:$C,"AmerDisAct",'FTE Calculator'!$F:$F,"phone"),SUMIFS('FTE Calculator'!$AO:$AO,'FTE Calculator'!$A:$A,L$24,'FTE Calculator'!$C:$C,"AmerDisAct",'FTE Calculator'!$F:$F,"phone"))</f>
        <v>0.03</v>
      </c>
      <c r="M27" s="27">
        <f>IF(M$24&lt;DATE(2026,3,1),SUMIFS('FTE Calculator'!$AL:$AL,'FTE Calculator'!$A:$A,M$24,'FTE Calculator'!$C:$C,"AmerDisAct",'FTE Calculator'!$F:$F,"phone"),SUMIFS('FTE Calculator'!$AO:$AO,'FTE Calculator'!$A:$A,M$24,'FTE Calculator'!$C:$C,"AmerDisAct",'FTE Calculator'!$F:$F,"phone"))</f>
        <v>0.03</v>
      </c>
      <c r="N27" s="27">
        <f>IF(N$24&lt;DATE(2026,3,1),SUMIFS('FTE Calculator'!$AL:$AL,'FTE Calculator'!$A:$A,N$24,'FTE Calculator'!$C:$C,"AmerDisAct",'FTE Calculator'!$F:$F,"phone"),SUMIFS('FTE Calculator'!$AO:$AO,'FTE Calculator'!$A:$A,N$24,'FTE Calculator'!$C:$C,"AmerDisAct",'FTE Calculator'!$F:$F,"phone"))</f>
        <v>0.02</v>
      </c>
      <c r="O27" s="28">
        <f t="shared" si="8"/>
        <v>6.666666666666668E-2</v>
      </c>
      <c r="P27" s="27">
        <f>IF(P$24&lt;DATE(2026,3,1),SUMIFS('FTE Calculator'!$AL:$AL,'FTE Calculator'!$A:$A,P$24,'FTE Calculator'!$C:$C,"AmerDisAct",'FTE Calculator'!$F:$F,"phone"),SUMIFS('FTE Calculator'!$AO:$AO,'FTE Calculator'!$A:$A,P$24,'FTE Calculator'!$C:$C,"AmerDisAct",'FTE Calculator'!$F:$F,"phone"))</f>
        <v>0.02</v>
      </c>
      <c r="Q27" s="27">
        <f>IF(Q$24&lt;DATE(2026,3,1),SUMIFS('FTE Calculator'!$AL:$AL,'FTE Calculator'!$A:$A,Q$24,'FTE Calculator'!$C:$C,"AmerDisAct",'FTE Calculator'!$F:$F,"phone"),SUMIFS('FTE Calculator'!$AO:$AO,'FTE Calculator'!$A:$A,Q$24,'FTE Calculator'!$C:$C,"AmerDisAct",'FTE Calculator'!$F:$F,"phone"))</f>
        <v>0.03</v>
      </c>
      <c r="R27" s="27">
        <f>IF(R$24&lt;DATE(2026,3,1),SUMIFS('FTE Calculator'!$AL:$AL,'FTE Calculator'!$A:$A,R$24,'FTE Calculator'!$C:$C,"AmerDisAct",'FTE Calculator'!$F:$F,"phone"),SUMIFS('FTE Calculator'!$AO:$AO,'FTE Calculator'!$A:$A,R$24,'FTE Calculator'!$C:$C,"AmerDisAct",'FTE Calculator'!$F:$F,"phone"))</f>
        <v>0.03</v>
      </c>
      <c r="S27" s="27">
        <f>IF(S$24&lt;DATE(2026,3,1),SUMIFS('FTE Calculator'!$AL:$AL,'FTE Calculator'!$A:$A,S$24,'FTE Calculator'!$C:$C,"AmerDisAct",'FTE Calculator'!$F:$F,"phone"),SUMIFS('FTE Calculator'!$AO:$AO,'FTE Calculator'!$A:$A,S$24,'FTE Calculator'!$C:$C,"AmerDisAct",'FTE Calculator'!$F:$F,"phone"))</f>
        <v>0.03</v>
      </c>
      <c r="T27" s="27">
        <f>IF(T$24&lt;DATE(2026,3,1),SUMIFS('FTE Calculator'!$AL:$AL,'FTE Calculator'!$A:$A,T$24,'FTE Calculator'!$C:$C,"AmerDisAct",'FTE Calculator'!$F:$F,"phone"),SUMIFS('FTE Calculator'!$AO:$AO,'FTE Calculator'!$A:$A,T$24,'FTE Calculator'!$C:$C,"AmerDisAct",'FTE Calculator'!$F:$F,"phone"))</f>
        <v>0.03</v>
      </c>
      <c r="U27" s="27">
        <f>IF(U$24&lt;DATE(2026,3,1),SUMIFS('FTE Calculator'!$AL:$AL,'FTE Calculator'!$A:$A,U$24,'FTE Calculator'!$C:$C,"AmerDisAct",'FTE Calculator'!$F:$F,"phone"),SUMIFS('FTE Calculator'!$AO:$AO,'FTE Calculator'!$A:$A,U$24,'FTE Calculator'!$C:$C,"AmerDisAct",'FTE Calculator'!$F:$F,"phone"))</f>
        <v>0.03</v>
      </c>
      <c r="V27" s="27">
        <f>IF(V$24&lt;DATE(2026,3,1),SUMIFS('FTE Calculator'!$AL:$AL,'FTE Calculator'!$A:$A,V$24,'FTE Calculator'!$C:$C,"AmerDisAct",'FTE Calculator'!$F:$F,"phone"),SUMIFS('FTE Calculator'!$AO:$AO,'FTE Calculator'!$A:$A,V$24,'FTE Calculator'!$C:$C,"AmerDisAct",'FTE Calculator'!$F:$F,"phone"))</f>
        <v>0.03</v>
      </c>
      <c r="W27" s="27">
        <f>IF(W$24&lt;DATE(2026,3,1),SUMIFS('FTE Calculator'!$AL:$AL,'FTE Calculator'!$A:$A,W$24,'FTE Calculator'!$C:$C,"AmerDisAct",'FTE Calculator'!$F:$F,"phone"),SUMIFS('FTE Calculator'!$AO:$AO,'FTE Calculator'!$A:$A,W$24,'FTE Calculator'!$C:$C,"AmerDisAct",'FTE Calculator'!$F:$F,"phone"))</f>
        <v>0.03</v>
      </c>
      <c r="X27" s="27">
        <f>IF(X$24&lt;DATE(2026,3,1),SUMIFS('FTE Calculator'!$AL:$AL,'FTE Calculator'!$A:$A,X$24,'FTE Calculator'!$C:$C,"AmerDisAct",'FTE Calculator'!$F:$F,"phone"),SUMIFS('FTE Calculator'!$AO:$AO,'FTE Calculator'!$A:$A,X$24,'FTE Calculator'!$C:$C,"AmerDisAct",'FTE Calculator'!$F:$F,"phone"))</f>
        <v>0.03</v>
      </c>
      <c r="Y27" s="27">
        <f>IF(Y$24&lt;DATE(2026,3,1),SUMIFS('FTE Calculator'!$AL:$AL,'FTE Calculator'!$A:$A,Y$24,'FTE Calculator'!$C:$C,"AmerDisAct",'FTE Calculator'!$F:$F,"phone"),SUMIFS('FTE Calculator'!$AO:$AO,'FTE Calculator'!$A:$A,Y$24,'FTE Calculator'!$C:$C,"AmerDisAct",'FTE Calculator'!$F:$F,"phone"))</f>
        <v>0.03</v>
      </c>
      <c r="Z27" s="27">
        <f>IF(Z$24&lt;DATE(2026,3,1),SUMIFS('FTE Calculator'!$AL:$AL,'FTE Calculator'!$A:$A,Z$24,'FTE Calculator'!$C:$C,"AmerDisAct",'FTE Calculator'!$F:$F,"phone"),SUMIFS('FTE Calculator'!$AO:$AO,'FTE Calculator'!$A:$A,Z$24,'FTE Calculator'!$C:$C,"AmerDisAct",'FTE Calculator'!$F:$F,"phone"))</f>
        <v>0.03</v>
      </c>
      <c r="AA27" s="27">
        <f>IF(AA$24&lt;DATE(2026,3,1),SUMIFS('FTE Calculator'!$AL:$AL,'FTE Calculator'!$A:$A,AA$24,'FTE Calculator'!$C:$C,"AmerDisAct",'FTE Calculator'!$F:$F,"phone"),SUMIFS('FTE Calculator'!$AO:$AO,'FTE Calculator'!$A:$A,AA$24,'FTE Calculator'!$C:$C,"AmerDisAct",'FTE Calculator'!$F:$F,"phone"))</f>
        <v>0.03</v>
      </c>
      <c r="AB27" s="28">
        <f t="shared" si="9"/>
        <v>2.9166666666666674E-2</v>
      </c>
      <c r="AC27" s="27">
        <f>IF(AC$24&lt;DATE(2026,3,1),SUMIFS('FTE Calculator'!$AL:$AL,'FTE Calculator'!$A:$A,AC$24,'FTE Calculator'!$C:$C,"AmerDisAct",'FTE Calculator'!$F:$F,"phone"),SUMIFS('FTE Calculator'!$AO:$AO,'FTE Calculator'!$A:$A,AC$24,'FTE Calculator'!$C:$C,"AmerDisAct",'FTE Calculator'!$F:$F,"phone"))</f>
        <v>0.03</v>
      </c>
      <c r="AD27" s="27">
        <f>IF(AD$24&lt;DATE(2026,3,1),SUMIFS('FTE Calculator'!$AL:$AL,'FTE Calculator'!$A:$A,AD$24,'FTE Calculator'!$C:$C,"AmerDisAct",'FTE Calculator'!$F:$F,"phone"),SUMIFS('FTE Calculator'!$AO:$AO,'FTE Calculator'!$A:$A,AD$24,'FTE Calculator'!$C:$C,"AmerDisAct",'FTE Calculator'!$F:$F,"phone"))</f>
        <v>0.03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</row>
    <row r="28" spans="1:700" x14ac:dyDescent="0.25">
      <c r="A28" s="17" t="s">
        <v>36</v>
      </c>
      <c r="B28" s="18" t="s">
        <v>92</v>
      </c>
      <c r="C28" s="20">
        <f>IF(C$24&lt;DATE(2026,3,1),SUMIFS('FTE Calculator'!$AL:$AL,'FTE Calculator'!$A:$A,C$24,'FTE Calculator'!$C:$C,"EMGLine",'FTE Calculator'!$F:$F,"phone"),SUMIFS('FTE Calculator'!$AO:$AO,'FTE Calculator'!$A:$A,C$24,'FTE Calculator'!$C:$C,"EMGLine",'FTE Calculator'!$F:$F,"phone"))</f>
        <v>0.01</v>
      </c>
      <c r="D28" s="20">
        <f>IF(D$24&lt;DATE(2026,3,1),SUMIFS('FTE Calculator'!$AL:$AL,'FTE Calculator'!$A:$A,D$24,'FTE Calculator'!$C:$C,"EMGLine",'FTE Calculator'!$F:$F,"phone"),SUMIFS('FTE Calculator'!$AO:$AO,'FTE Calculator'!$A:$A,D$24,'FTE Calculator'!$C:$C,"EMGLine",'FTE Calculator'!$F:$F,"phone"))</f>
        <v>0.01</v>
      </c>
      <c r="E28" s="20">
        <f>IF(E$24&lt;DATE(2026,3,1),SUMIFS('FTE Calculator'!$AL:$AL,'FTE Calculator'!$A:$A,E$24,'FTE Calculator'!$C:$C,"EMGLine",'FTE Calculator'!$F:$F,"phone"),SUMIFS('FTE Calculator'!$AO:$AO,'FTE Calculator'!$A:$A,E$24,'FTE Calculator'!$C:$C,"EMGLine",'FTE Calculator'!$F:$F,"phone"))</f>
        <v>0.01</v>
      </c>
      <c r="F28" s="20">
        <f>IF(F$24&lt;DATE(2026,3,1),SUMIFS('FTE Calculator'!$AL:$AL,'FTE Calculator'!$A:$A,F$24,'FTE Calculator'!$C:$C,"EMGLine",'FTE Calculator'!$F:$F,"phone"),SUMIFS('FTE Calculator'!$AO:$AO,'FTE Calculator'!$A:$A,F$24,'FTE Calculator'!$C:$C,"EMGLine",'FTE Calculator'!$F:$F,"phone"))</f>
        <v>0.01</v>
      </c>
      <c r="G28" s="20">
        <f>IF(G$24&lt;DATE(2026,3,1),SUMIFS('FTE Calculator'!$AL:$AL,'FTE Calculator'!$A:$A,G$24,'FTE Calculator'!$C:$C,"EMGLine",'FTE Calculator'!$F:$F,"phone"),SUMIFS('FTE Calculator'!$AO:$AO,'FTE Calculator'!$A:$A,G$24,'FTE Calculator'!$C:$C,"EMGLine",'FTE Calculator'!$F:$F,"phone"))</f>
        <v>0</v>
      </c>
      <c r="H28" s="20">
        <f>IF(H$24&lt;DATE(2026,3,1),SUMIFS('FTE Calculator'!$AL:$AL,'FTE Calculator'!$A:$A,H$24,'FTE Calculator'!$C:$C,"EMGLine",'FTE Calculator'!$F:$F,"phone"),SUMIFS('FTE Calculator'!$AO:$AO,'FTE Calculator'!$A:$A,H$24,'FTE Calculator'!$C:$C,"EMGLine",'FTE Calculator'!$F:$F,"phone"))</f>
        <v>0.01</v>
      </c>
      <c r="I28" s="20">
        <f>IF(I$24&lt;DATE(2026,3,1),SUMIFS('FTE Calculator'!$AL:$AL,'FTE Calculator'!$A:$A,I$24,'FTE Calculator'!$C:$C,"EMGLine",'FTE Calculator'!$F:$F,"phone"),SUMIFS('FTE Calculator'!$AO:$AO,'FTE Calculator'!$A:$A,I$24,'FTE Calculator'!$C:$C,"EMGLine",'FTE Calculator'!$F:$F,"phone"))</f>
        <v>0.01</v>
      </c>
      <c r="J28" s="20">
        <f>IF(J$24&lt;DATE(2026,3,1),SUMIFS('FTE Calculator'!$AL:$AL,'FTE Calculator'!$A:$A,J$24,'FTE Calculator'!$C:$C,"EMGLine",'FTE Calculator'!$F:$F,"phone"),SUMIFS('FTE Calculator'!$AO:$AO,'FTE Calculator'!$A:$A,J$24,'FTE Calculator'!$C:$C,"EMGLine",'FTE Calculator'!$F:$F,"phone"))</f>
        <v>0.01</v>
      </c>
      <c r="K28" s="20">
        <f>IF(K$24&lt;DATE(2026,3,1),SUMIFS('FTE Calculator'!$AL:$AL,'FTE Calculator'!$A:$A,K$24,'FTE Calculator'!$C:$C,"EMGLine",'FTE Calculator'!$F:$F,"phone"),SUMIFS('FTE Calculator'!$AO:$AO,'FTE Calculator'!$A:$A,K$24,'FTE Calculator'!$C:$C,"EMGLine",'FTE Calculator'!$F:$F,"phone"))</f>
        <v>0.01</v>
      </c>
      <c r="L28" s="20">
        <f>IF(L$24&lt;DATE(2026,3,1),SUMIFS('FTE Calculator'!$AL:$AL,'FTE Calculator'!$A:$A,L$24,'FTE Calculator'!$C:$C,"EMGLine",'FTE Calculator'!$F:$F,"phone"),SUMIFS('FTE Calculator'!$AO:$AO,'FTE Calculator'!$A:$A,L$24,'FTE Calculator'!$C:$C,"EMGLine",'FTE Calculator'!$F:$F,"phone"))</f>
        <v>0.01</v>
      </c>
      <c r="M28" s="20">
        <f>IF(M$24&lt;DATE(2026,3,1),SUMIFS('FTE Calculator'!$AL:$AL,'FTE Calculator'!$A:$A,M$24,'FTE Calculator'!$C:$C,"EMGLine",'FTE Calculator'!$F:$F,"phone"),SUMIFS('FTE Calculator'!$AO:$AO,'FTE Calculator'!$A:$A,M$24,'FTE Calculator'!$C:$C,"EMGLine",'FTE Calculator'!$F:$F,"phone"))</f>
        <v>0.01</v>
      </c>
      <c r="N28" s="20">
        <f>IF(N$24&lt;DATE(2026,3,1),SUMIFS('FTE Calculator'!$AL:$AL,'FTE Calculator'!$A:$A,N$24,'FTE Calculator'!$C:$C,"EMGLine",'FTE Calculator'!$F:$F,"phone"),SUMIFS('FTE Calculator'!$AO:$AO,'FTE Calculator'!$A:$A,N$24,'FTE Calculator'!$C:$C,"EMGLine",'FTE Calculator'!$F:$F,"phone"))</f>
        <v>0.02</v>
      </c>
      <c r="O28" s="28">
        <f t="shared" si="8"/>
        <v>0.01</v>
      </c>
      <c r="P28" s="20">
        <f>IF(P$24&lt;DATE(2026,3,1),SUMIFS('FTE Calculator'!$AL:$AL,'FTE Calculator'!$A:$A,P$24,'FTE Calculator'!$C:$C,"EMGLine",'FTE Calculator'!$F:$F,"phone"),SUMIFS('FTE Calculator'!$AO:$AO,'FTE Calculator'!$A:$A,P$24,'FTE Calculator'!$C:$C,"EMGLine",'FTE Calculator'!$F:$F,"phone"))</f>
        <v>0.01</v>
      </c>
      <c r="Q28" s="20">
        <f>IF(Q$24&lt;DATE(2026,3,1),SUMIFS('FTE Calculator'!$AL:$AL,'FTE Calculator'!$A:$A,Q$24,'FTE Calculator'!$C:$C,"EMGLine",'FTE Calculator'!$F:$F,"phone"),SUMIFS('FTE Calculator'!$AO:$AO,'FTE Calculator'!$A:$A,Q$24,'FTE Calculator'!$C:$C,"EMGLine",'FTE Calculator'!$F:$F,"phone"))</f>
        <v>0</v>
      </c>
      <c r="R28" s="20">
        <f>IF(R$24&lt;DATE(2026,3,1),SUMIFS('FTE Calculator'!$AL:$AL,'FTE Calculator'!$A:$A,R$24,'FTE Calculator'!$C:$C,"EMGLine",'FTE Calculator'!$F:$F,"phone"),SUMIFS('FTE Calculator'!$AO:$AO,'FTE Calculator'!$A:$A,R$24,'FTE Calculator'!$C:$C,"EMGLine",'FTE Calculator'!$F:$F,"phone"))</f>
        <v>0.01</v>
      </c>
      <c r="S28" s="20">
        <f>IF(S$24&lt;DATE(2026,3,1),SUMIFS('FTE Calculator'!$AL:$AL,'FTE Calculator'!$A:$A,S$24,'FTE Calculator'!$C:$C,"EMGLine",'FTE Calculator'!$F:$F,"phone"),SUMIFS('FTE Calculator'!$AO:$AO,'FTE Calculator'!$A:$A,S$24,'FTE Calculator'!$C:$C,"EMGLine",'FTE Calculator'!$F:$F,"phone"))</f>
        <v>0.01</v>
      </c>
      <c r="T28" s="20">
        <f>IF(T$24&lt;DATE(2026,3,1),SUMIFS('FTE Calculator'!$AL:$AL,'FTE Calculator'!$A:$A,T$24,'FTE Calculator'!$C:$C,"EMGLine",'FTE Calculator'!$F:$F,"phone"),SUMIFS('FTE Calculator'!$AO:$AO,'FTE Calculator'!$A:$A,T$24,'FTE Calculator'!$C:$C,"EMGLine",'FTE Calculator'!$F:$F,"phone"))</f>
        <v>0</v>
      </c>
      <c r="U28" s="20">
        <f>IF(U$24&lt;DATE(2026,3,1),SUMIFS('FTE Calculator'!$AL:$AL,'FTE Calculator'!$A:$A,U$24,'FTE Calculator'!$C:$C,"EMGLine",'FTE Calculator'!$F:$F,"phone"),SUMIFS('FTE Calculator'!$AO:$AO,'FTE Calculator'!$A:$A,U$24,'FTE Calculator'!$C:$C,"EMGLine",'FTE Calculator'!$F:$F,"phone"))</f>
        <v>0.01</v>
      </c>
      <c r="V28" s="20">
        <f>IF(V$24&lt;DATE(2026,3,1),SUMIFS('FTE Calculator'!$AL:$AL,'FTE Calculator'!$A:$A,V$24,'FTE Calculator'!$C:$C,"EMGLine",'FTE Calculator'!$F:$F,"phone"),SUMIFS('FTE Calculator'!$AO:$AO,'FTE Calculator'!$A:$A,V$24,'FTE Calculator'!$C:$C,"EMGLine",'FTE Calculator'!$F:$F,"phone"))</f>
        <v>0.01</v>
      </c>
      <c r="W28" s="20">
        <f>IF(W$24&lt;DATE(2026,3,1),SUMIFS('FTE Calculator'!$AL:$AL,'FTE Calculator'!$A:$A,W$24,'FTE Calculator'!$C:$C,"EMGLine",'FTE Calculator'!$F:$F,"phone"),SUMIFS('FTE Calculator'!$AO:$AO,'FTE Calculator'!$A:$A,W$24,'FTE Calculator'!$C:$C,"EMGLine",'FTE Calculator'!$F:$F,"phone"))</f>
        <v>0.01</v>
      </c>
      <c r="X28" s="20">
        <f>IF(X$24&lt;DATE(2026,3,1),SUMIFS('FTE Calculator'!$AL:$AL,'FTE Calculator'!$A:$A,X$24,'FTE Calculator'!$C:$C,"EMGLine",'FTE Calculator'!$F:$F,"phone"),SUMIFS('FTE Calculator'!$AO:$AO,'FTE Calculator'!$A:$A,X$24,'FTE Calculator'!$C:$C,"EMGLine",'FTE Calculator'!$F:$F,"phone"))</f>
        <v>0.01</v>
      </c>
      <c r="Y28" s="20">
        <f>IF(Y$24&lt;DATE(2026,3,1),SUMIFS('FTE Calculator'!$AL:$AL,'FTE Calculator'!$A:$A,Y$24,'FTE Calculator'!$C:$C,"EMGLine",'FTE Calculator'!$F:$F,"phone"),SUMIFS('FTE Calculator'!$AO:$AO,'FTE Calculator'!$A:$A,Y$24,'FTE Calculator'!$C:$C,"EMGLine",'FTE Calculator'!$F:$F,"phone"))</f>
        <v>0.01</v>
      </c>
      <c r="Z28" s="20">
        <f>IF(Z$24&lt;DATE(2026,3,1),SUMIFS('FTE Calculator'!$AL:$AL,'FTE Calculator'!$A:$A,Z$24,'FTE Calculator'!$C:$C,"EMGLine",'FTE Calculator'!$F:$F,"phone"),SUMIFS('FTE Calculator'!$AO:$AO,'FTE Calculator'!$A:$A,Z$24,'FTE Calculator'!$C:$C,"EMGLine",'FTE Calculator'!$F:$F,"phone"))</f>
        <v>0.01</v>
      </c>
      <c r="AA28" s="20">
        <f>IF(AA$24&lt;DATE(2026,3,1),SUMIFS('FTE Calculator'!$AL:$AL,'FTE Calculator'!$A:$A,AA$24,'FTE Calculator'!$C:$C,"EMGLine",'FTE Calculator'!$F:$F,"phone"),SUMIFS('FTE Calculator'!$AO:$AO,'FTE Calculator'!$A:$A,AA$24,'FTE Calculator'!$C:$C,"EMGLine",'FTE Calculator'!$F:$F,"phone"))</f>
        <v>0.01</v>
      </c>
      <c r="AB28" s="28">
        <f t="shared" si="9"/>
        <v>8.3333333333333332E-3</v>
      </c>
      <c r="AC28" s="20">
        <f>IF(AC$24&lt;DATE(2026,3,1),SUMIFS('FTE Calculator'!$AL:$AL,'FTE Calculator'!$A:$A,AC$24,'FTE Calculator'!$C:$C,"EMGLine",'FTE Calculator'!$F:$F,"phone"),SUMIFS('FTE Calculator'!$AO:$AO,'FTE Calculator'!$A:$A,AC$24,'FTE Calculator'!$C:$C,"EMGLine",'FTE Calculator'!$F:$F,"phone"))</f>
        <v>0.01</v>
      </c>
      <c r="AD28" s="20">
        <f>IF(AD$24&lt;DATE(2026,3,1),SUMIFS('FTE Calculator'!$AL:$AL,'FTE Calculator'!$A:$A,AD$24,'FTE Calculator'!$C:$C,"EMGLine",'FTE Calculator'!$F:$F,"phone"),SUMIFS('FTE Calculator'!$AO:$AO,'FTE Calculator'!$A:$A,AD$24,'FTE Calculator'!$C:$C,"EMGLine",'FTE Calculator'!$F:$F,"phone"))</f>
        <v>0.01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</row>
    <row r="29" spans="1:700" x14ac:dyDescent="0.25">
      <c r="A29" s="23" t="s">
        <v>37</v>
      </c>
      <c r="B29" s="24" t="s">
        <v>92</v>
      </c>
      <c r="C29" s="27">
        <f>IF(C$24&lt;DATE(2026,3,1),SUMIFS('FTE Calculator'!$AL:$AL,'FTE Calculator'!$A:$A,C$24,'FTE Calculator'!$C:$C,"Hotline",'FTE Calculator'!$F:$F,"phone"),SUMIFS('FTE Calculator'!$AO:$AO,'FTE Calculator'!$A:$A,C$24,'FTE Calculator'!$C:$C,"Hotline",'FTE Calculator'!$F:$F,"phone"))</f>
        <v>0.01</v>
      </c>
      <c r="D29" s="27">
        <f>IF(D$24&lt;DATE(2026,3,1),SUMIFS('FTE Calculator'!$AL:$AL,'FTE Calculator'!$A:$A,D$24,'FTE Calculator'!$C:$C,"Hotline",'FTE Calculator'!$F:$F,"phone"),SUMIFS('FTE Calculator'!$AO:$AO,'FTE Calculator'!$A:$A,D$24,'FTE Calculator'!$C:$C,"Hotline",'FTE Calculator'!$F:$F,"phone"))</f>
        <v>0.01</v>
      </c>
      <c r="E29" s="27">
        <f>IF(E$24&lt;DATE(2026,3,1),SUMIFS('FTE Calculator'!$AL:$AL,'FTE Calculator'!$A:$A,E$24,'FTE Calculator'!$C:$C,"Hotline",'FTE Calculator'!$F:$F,"phone"),SUMIFS('FTE Calculator'!$AO:$AO,'FTE Calculator'!$A:$A,E$24,'FTE Calculator'!$C:$C,"Hotline",'FTE Calculator'!$F:$F,"phone"))</f>
        <v>0</v>
      </c>
      <c r="F29" s="27">
        <f>IF(F$24&lt;DATE(2026,3,1),SUMIFS('FTE Calculator'!$AL:$AL,'FTE Calculator'!$A:$A,F$24,'FTE Calculator'!$C:$C,"Hotline",'FTE Calculator'!$F:$F,"phone"),SUMIFS('FTE Calculator'!$AO:$AO,'FTE Calculator'!$A:$A,F$24,'FTE Calculator'!$C:$C,"Hotline",'FTE Calculator'!$F:$F,"phone"))</f>
        <v>0.01</v>
      </c>
      <c r="G29" s="27">
        <f>IF(G$24&lt;DATE(2026,3,1),SUMIFS('FTE Calculator'!$AL:$AL,'FTE Calculator'!$A:$A,G$24,'FTE Calculator'!$C:$C,"Hotline",'FTE Calculator'!$F:$F,"phone"),SUMIFS('FTE Calculator'!$AO:$AO,'FTE Calculator'!$A:$A,G$24,'FTE Calculator'!$C:$C,"Hotline",'FTE Calculator'!$F:$F,"phone"))</f>
        <v>0.01</v>
      </c>
      <c r="H29" s="27">
        <f>IF(H$24&lt;DATE(2026,3,1),SUMIFS('FTE Calculator'!$AL:$AL,'FTE Calculator'!$A:$A,H$24,'FTE Calculator'!$C:$C,"Hotline",'FTE Calculator'!$F:$F,"phone"),SUMIFS('FTE Calculator'!$AO:$AO,'FTE Calculator'!$A:$A,H$24,'FTE Calculator'!$C:$C,"Hotline",'FTE Calculator'!$F:$F,"phone"))</f>
        <v>0</v>
      </c>
      <c r="I29" s="27">
        <f>IF(I$24&lt;DATE(2026,3,1),SUMIFS('FTE Calculator'!$AL:$AL,'FTE Calculator'!$A:$A,I$24,'FTE Calculator'!$C:$C,"Hotline",'FTE Calculator'!$F:$F,"phone"),SUMIFS('FTE Calculator'!$AO:$AO,'FTE Calculator'!$A:$A,I$24,'FTE Calculator'!$C:$C,"Hotline",'FTE Calculator'!$F:$F,"phone"))</f>
        <v>0.01</v>
      </c>
      <c r="J29" s="27">
        <f>IF(J$24&lt;DATE(2026,3,1),SUMIFS('FTE Calculator'!$AL:$AL,'FTE Calculator'!$A:$A,J$24,'FTE Calculator'!$C:$C,"Hotline",'FTE Calculator'!$F:$F,"phone"),SUMIFS('FTE Calculator'!$AO:$AO,'FTE Calculator'!$A:$A,J$24,'FTE Calculator'!$C:$C,"Hotline",'FTE Calculator'!$F:$F,"phone"))</f>
        <v>0</v>
      </c>
      <c r="K29" s="27">
        <f>IF(K$24&lt;DATE(2026,3,1),SUMIFS('FTE Calculator'!$AL:$AL,'FTE Calculator'!$A:$A,K$24,'FTE Calculator'!$C:$C,"Hotline",'FTE Calculator'!$F:$F,"phone"),SUMIFS('FTE Calculator'!$AO:$AO,'FTE Calculator'!$A:$A,K$24,'FTE Calculator'!$C:$C,"Hotline",'FTE Calculator'!$F:$F,"phone"))</f>
        <v>0</v>
      </c>
      <c r="L29" s="27">
        <f>IF(L$24&lt;DATE(2026,3,1),SUMIFS('FTE Calculator'!$AL:$AL,'FTE Calculator'!$A:$A,L$24,'FTE Calculator'!$C:$C,"Hotline",'FTE Calculator'!$F:$F,"phone"),SUMIFS('FTE Calculator'!$AO:$AO,'FTE Calculator'!$A:$A,L$24,'FTE Calculator'!$C:$C,"Hotline",'FTE Calculator'!$F:$F,"phone"))</f>
        <v>0</v>
      </c>
      <c r="M29" s="27">
        <f>IF(M$24&lt;DATE(2026,3,1),SUMIFS('FTE Calculator'!$AL:$AL,'FTE Calculator'!$A:$A,M$24,'FTE Calculator'!$C:$C,"Hotline",'FTE Calculator'!$F:$F,"phone"),SUMIFS('FTE Calculator'!$AO:$AO,'FTE Calculator'!$A:$A,M$24,'FTE Calculator'!$C:$C,"Hotline",'FTE Calculator'!$F:$F,"phone"))</f>
        <v>0</v>
      </c>
      <c r="N29" s="27">
        <f>IF(N$24&lt;DATE(2026,3,1),SUMIFS('FTE Calculator'!$AL:$AL,'FTE Calculator'!$A:$A,N$24,'FTE Calculator'!$C:$C,"Hotline",'FTE Calculator'!$F:$F,"phone"),SUMIFS('FTE Calculator'!$AO:$AO,'FTE Calculator'!$A:$A,N$24,'FTE Calculator'!$C:$C,"Hotline",'FTE Calculator'!$F:$F,"phone"))</f>
        <v>0</v>
      </c>
      <c r="O29" s="28">
        <f t="shared" si="8"/>
        <v>4.1666666666666666E-3</v>
      </c>
      <c r="P29" s="27">
        <f>IF(P$24&lt;DATE(2026,3,1),SUMIFS('FTE Calculator'!$AL:$AL,'FTE Calculator'!$A:$A,P$24,'FTE Calculator'!$C:$C,"Hotline",'FTE Calculator'!$F:$F,"phone"),SUMIFS('FTE Calculator'!$AO:$AO,'FTE Calculator'!$A:$A,P$24,'FTE Calculator'!$C:$C,"Hotline",'FTE Calculator'!$F:$F,"phone"))</f>
        <v>0</v>
      </c>
      <c r="Q29" s="27">
        <f>IF(Q$24&lt;DATE(2026,3,1),SUMIFS('FTE Calculator'!$AL:$AL,'FTE Calculator'!$A:$A,Q$24,'FTE Calculator'!$C:$C,"Hotline",'FTE Calculator'!$F:$F,"phone"),SUMIFS('FTE Calculator'!$AO:$AO,'FTE Calculator'!$A:$A,Q$24,'FTE Calculator'!$C:$C,"Hotline",'FTE Calculator'!$F:$F,"phone"))</f>
        <v>0</v>
      </c>
      <c r="R29" s="27">
        <f>IF(R$24&lt;DATE(2026,3,1),SUMIFS('FTE Calculator'!$AL:$AL,'FTE Calculator'!$A:$A,R$24,'FTE Calculator'!$C:$C,"Hotline",'FTE Calculator'!$F:$F,"phone"),SUMIFS('FTE Calculator'!$AO:$AO,'FTE Calculator'!$A:$A,R$24,'FTE Calculator'!$C:$C,"Hotline",'FTE Calculator'!$F:$F,"phone"))</f>
        <v>0</v>
      </c>
      <c r="S29" s="27">
        <f>IF(S$24&lt;DATE(2026,3,1),SUMIFS('FTE Calculator'!$AL:$AL,'FTE Calculator'!$A:$A,S$24,'FTE Calculator'!$C:$C,"Hotline",'FTE Calculator'!$F:$F,"phone"),SUMIFS('FTE Calculator'!$AO:$AO,'FTE Calculator'!$A:$A,S$24,'FTE Calculator'!$C:$C,"Hotline",'FTE Calculator'!$F:$F,"phone"))</f>
        <v>0</v>
      </c>
      <c r="T29" s="27">
        <f>IF(T$24&lt;DATE(2026,3,1),SUMIFS('FTE Calculator'!$AL:$AL,'FTE Calculator'!$A:$A,T$24,'FTE Calculator'!$C:$C,"Hotline",'FTE Calculator'!$F:$F,"phone"),SUMIFS('FTE Calculator'!$AO:$AO,'FTE Calculator'!$A:$A,T$24,'FTE Calculator'!$C:$C,"Hotline",'FTE Calculator'!$F:$F,"phone"))</f>
        <v>0</v>
      </c>
      <c r="U29" s="27">
        <f>IF(U$24&lt;DATE(2026,3,1),SUMIFS('FTE Calculator'!$AL:$AL,'FTE Calculator'!$A:$A,U$24,'FTE Calculator'!$C:$C,"Hotline",'FTE Calculator'!$F:$F,"phone"),SUMIFS('FTE Calculator'!$AO:$AO,'FTE Calculator'!$A:$A,U$24,'FTE Calculator'!$C:$C,"Hotline",'FTE Calculator'!$F:$F,"phone"))</f>
        <v>0</v>
      </c>
      <c r="V29" s="27">
        <f>IF(V$24&lt;DATE(2026,3,1),SUMIFS('FTE Calculator'!$AL:$AL,'FTE Calculator'!$A:$A,V$24,'FTE Calculator'!$C:$C,"Hotline",'FTE Calculator'!$F:$F,"phone"),SUMIFS('FTE Calculator'!$AO:$AO,'FTE Calculator'!$A:$A,V$24,'FTE Calculator'!$C:$C,"Hotline",'FTE Calculator'!$F:$F,"phone"))</f>
        <v>0</v>
      </c>
      <c r="W29" s="27">
        <f>IF(W$24&lt;DATE(2026,3,1),SUMIFS('FTE Calculator'!$AL:$AL,'FTE Calculator'!$A:$A,W$24,'FTE Calculator'!$C:$C,"Hotline",'FTE Calculator'!$F:$F,"phone"),SUMIFS('FTE Calculator'!$AO:$AO,'FTE Calculator'!$A:$A,W$24,'FTE Calculator'!$C:$C,"Hotline",'FTE Calculator'!$F:$F,"phone"))</f>
        <v>0</v>
      </c>
      <c r="X29" s="27">
        <f>IF(X$24&lt;DATE(2026,3,1),SUMIFS('FTE Calculator'!$AL:$AL,'FTE Calculator'!$A:$A,X$24,'FTE Calculator'!$C:$C,"Hotline",'FTE Calculator'!$F:$F,"phone"),SUMIFS('FTE Calculator'!$AO:$AO,'FTE Calculator'!$A:$A,X$24,'FTE Calculator'!$C:$C,"Hotline",'FTE Calculator'!$F:$F,"phone"))</f>
        <v>0</v>
      </c>
      <c r="Y29" s="27">
        <f>IF(Y$24&lt;DATE(2026,3,1),SUMIFS('FTE Calculator'!$AL:$AL,'FTE Calculator'!$A:$A,Y$24,'FTE Calculator'!$C:$C,"Hotline",'FTE Calculator'!$F:$F,"phone"),SUMIFS('FTE Calculator'!$AO:$AO,'FTE Calculator'!$A:$A,Y$24,'FTE Calculator'!$C:$C,"Hotline",'FTE Calculator'!$F:$F,"phone"))</f>
        <v>0</v>
      </c>
      <c r="Z29" s="27">
        <f>IF(Z$24&lt;DATE(2026,3,1),SUMIFS('FTE Calculator'!$AL:$AL,'FTE Calculator'!$A:$A,Z$24,'FTE Calculator'!$C:$C,"Hotline",'FTE Calculator'!$F:$F,"phone"),SUMIFS('FTE Calculator'!$AO:$AO,'FTE Calculator'!$A:$A,Z$24,'FTE Calculator'!$C:$C,"Hotline",'FTE Calculator'!$F:$F,"phone"))</f>
        <v>0</v>
      </c>
      <c r="AA29" s="27">
        <f>IF(AA$24&lt;DATE(2026,3,1),SUMIFS('FTE Calculator'!$AL:$AL,'FTE Calculator'!$A:$A,AA$24,'FTE Calculator'!$C:$C,"Hotline",'FTE Calculator'!$F:$F,"phone"),SUMIFS('FTE Calculator'!$AO:$AO,'FTE Calculator'!$A:$A,AA$24,'FTE Calculator'!$C:$C,"Hotline",'FTE Calculator'!$F:$F,"phone"))</f>
        <v>0</v>
      </c>
      <c r="AB29" s="28">
        <f t="shared" si="9"/>
        <v>0</v>
      </c>
      <c r="AC29" s="27">
        <f>IF(AC$24&lt;DATE(2026,3,1),SUMIFS('FTE Calculator'!$AL:$AL,'FTE Calculator'!$A:$A,AC$24,'FTE Calculator'!$C:$C,"Hotline",'FTE Calculator'!$F:$F,"phone"),SUMIFS('FTE Calculator'!$AO:$AO,'FTE Calculator'!$A:$A,AC$24,'FTE Calculator'!$C:$C,"Hotline",'FTE Calculator'!$F:$F,"phone"))</f>
        <v>0</v>
      </c>
      <c r="AD29" s="27">
        <f>IF(AD$24&lt;DATE(2026,3,1),SUMIFS('FTE Calculator'!$AL:$AL,'FTE Calculator'!$A:$A,AD$24,'FTE Calculator'!$C:$C,"Hotline",'FTE Calculator'!$F:$F,"phone"),SUMIFS('FTE Calculator'!$AO:$AO,'FTE Calculator'!$A:$A,AD$24,'FTE Calculator'!$C:$C,"Hotline",'FTE Calculator'!$F:$F,"phone"))</f>
        <v>0</v>
      </c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</row>
    <row r="30" spans="1:700" x14ac:dyDescent="0.25">
      <c r="A30" s="17" t="s">
        <v>38</v>
      </c>
      <c r="B30" s="18" t="s">
        <v>92</v>
      </c>
      <c r="C30" s="20">
        <f>IF(C$24&lt;DATE(2026,3,1),SUMIFS('FTE Calculator'!$AL:$AL,'FTE Calculator'!$A:$A,C$24,'FTE Calculator'!$C:$C,"Matrix 1",'FTE Calculator'!$F:$F,"phone"),SUMIFS('FTE Calculator'!$AO:$AO,'FTE Calculator'!$A:$A,C$24,'FTE Calculator'!$C:$C,"Matrix 1",'FTE Calculator'!$F:$F,"phone"))</f>
        <v>6.79</v>
      </c>
      <c r="D30" s="20">
        <f>IF(D$24&lt;DATE(2026,3,1),SUMIFS('FTE Calculator'!$AL:$AL,'FTE Calculator'!$A:$A,D$24,'FTE Calculator'!$C:$C,"Matrix 1",'FTE Calculator'!$F:$F,"phone"),SUMIFS('FTE Calculator'!$AO:$AO,'FTE Calculator'!$A:$A,D$24,'FTE Calculator'!$C:$C,"Matrix 1",'FTE Calculator'!$F:$F,"phone"))</f>
        <v>5.95</v>
      </c>
      <c r="E30" s="20">
        <f>IF(E$24&lt;DATE(2026,3,1),SUMIFS('FTE Calculator'!$AL:$AL,'FTE Calculator'!$A:$A,E$24,'FTE Calculator'!$C:$C,"Matrix 1",'FTE Calculator'!$F:$F,"phone"),SUMIFS('FTE Calculator'!$AO:$AO,'FTE Calculator'!$A:$A,E$24,'FTE Calculator'!$C:$C,"Matrix 1",'FTE Calculator'!$F:$F,"phone"))</f>
        <v>5.32</v>
      </c>
      <c r="F30" s="20">
        <f>IF(F$24&lt;DATE(2026,3,1),SUMIFS('FTE Calculator'!$AL:$AL,'FTE Calculator'!$A:$A,F$24,'FTE Calculator'!$C:$C,"Matrix 1",'FTE Calculator'!$F:$F,"phone"),SUMIFS('FTE Calculator'!$AO:$AO,'FTE Calculator'!$A:$A,F$24,'FTE Calculator'!$C:$C,"Matrix 1",'FTE Calculator'!$F:$F,"phone"))</f>
        <v>4.72</v>
      </c>
      <c r="G30" s="20">
        <f>IF(G$24&lt;DATE(2026,3,1),SUMIFS('FTE Calculator'!$AL:$AL,'FTE Calculator'!$A:$A,G$24,'FTE Calculator'!$C:$C,"Matrix 1",'FTE Calculator'!$F:$F,"phone"),SUMIFS('FTE Calculator'!$AO:$AO,'FTE Calculator'!$A:$A,G$24,'FTE Calculator'!$C:$C,"Matrix 1",'FTE Calculator'!$F:$F,"phone"))</f>
        <v>5.03</v>
      </c>
      <c r="H30" s="20">
        <f>IF(H$24&lt;DATE(2026,3,1),SUMIFS('FTE Calculator'!$AL:$AL,'FTE Calculator'!$A:$A,H$24,'FTE Calculator'!$C:$C,"Matrix 1",'FTE Calculator'!$F:$F,"phone"),SUMIFS('FTE Calculator'!$AO:$AO,'FTE Calculator'!$A:$A,H$24,'FTE Calculator'!$C:$C,"Matrix 1",'FTE Calculator'!$F:$F,"phone"))</f>
        <v>4.51</v>
      </c>
      <c r="I30" s="20">
        <f>IF(I$24&lt;DATE(2026,3,1),SUMIFS('FTE Calculator'!$AL:$AL,'FTE Calculator'!$A:$A,I$24,'FTE Calculator'!$C:$C,"Matrix 1",'FTE Calculator'!$F:$F,"phone"),SUMIFS('FTE Calculator'!$AO:$AO,'FTE Calculator'!$A:$A,I$24,'FTE Calculator'!$C:$C,"Matrix 1",'FTE Calculator'!$F:$F,"phone"))</f>
        <v>5.57</v>
      </c>
      <c r="J30" s="20">
        <f>IF(J$24&lt;DATE(2026,3,1),SUMIFS('FTE Calculator'!$AL:$AL,'FTE Calculator'!$A:$A,J$24,'FTE Calculator'!$C:$C,"Matrix 1",'FTE Calculator'!$F:$F,"phone"),SUMIFS('FTE Calculator'!$AO:$AO,'FTE Calculator'!$A:$A,J$24,'FTE Calculator'!$C:$C,"Matrix 1",'FTE Calculator'!$F:$F,"phone"))</f>
        <v>4.99</v>
      </c>
      <c r="K30" s="20">
        <f>IF(K$24&lt;DATE(2026,3,1),SUMIFS('FTE Calculator'!$AL:$AL,'FTE Calculator'!$A:$A,K$24,'FTE Calculator'!$C:$C,"Matrix 1",'FTE Calculator'!$F:$F,"phone"),SUMIFS('FTE Calculator'!$AO:$AO,'FTE Calculator'!$A:$A,K$24,'FTE Calculator'!$C:$C,"Matrix 1",'FTE Calculator'!$F:$F,"phone"))</f>
        <v>4.93</v>
      </c>
      <c r="L30" s="20">
        <f>IF(L$24&lt;DATE(2026,3,1),SUMIFS('FTE Calculator'!$AL:$AL,'FTE Calculator'!$A:$A,L$24,'FTE Calculator'!$C:$C,"Matrix 1",'FTE Calculator'!$F:$F,"phone"),SUMIFS('FTE Calculator'!$AO:$AO,'FTE Calculator'!$A:$A,L$24,'FTE Calculator'!$C:$C,"Matrix 1",'FTE Calculator'!$F:$F,"phone"))</f>
        <v>4.08</v>
      </c>
      <c r="M30" s="20">
        <f>IF(M$24&lt;DATE(2026,3,1),SUMIFS('FTE Calculator'!$AL:$AL,'FTE Calculator'!$A:$A,M$24,'FTE Calculator'!$C:$C,"Matrix 1",'FTE Calculator'!$F:$F,"phone"),SUMIFS('FTE Calculator'!$AO:$AO,'FTE Calculator'!$A:$A,M$24,'FTE Calculator'!$C:$C,"Matrix 1",'FTE Calculator'!$F:$F,"phone"))</f>
        <v>3.7</v>
      </c>
      <c r="N30" s="20">
        <f>IF(N$24&lt;DATE(2026,3,1),SUMIFS('FTE Calculator'!$AL:$AL,'FTE Calculator'!$A:$A,N$24,'FTE Calculator'!$C:$C,"Matrix 1",'FTE Calculator'!$F:$F,"phone"),SUMIFS('FTE Calculator'!$AO:$AO,'FTE Calculator'!$A:$A,N$24,'FTE Calculator'!$C:$C,"Matrix 1",'FTE Calculator'!$F:$F,"phone"))</f>
        <v>2.91</v>
      </c>
      <c r="O30" s="28">
        <f t="shared" si="8"/>
        <v>4.875</v>
      </c>
      <c r="P30" s="20">
        <f>IF(P$24&lt;DATE(2026,3,1),SUMIFS('FTE Calculator'!$AL:$AL,'FTE Calculator'!$A:$A,P$24,'FTE Calculator'!$C:$C,"Matrix 1",'FTE Calculator'!$F:$F,"phone"),SUMIFS('FTE Calculator'!$AO:$AO,'FTE Calculator'!$A:$A,P$24,'FTE Calculator'!$C:$C,"Matrix 1",'FTE Calculator'!$F:$F,"phone"))</f>
        <v>4.3899999999999997</v>
      </c>
      <c r="Q30" s="20">
        <f>IF(Q$24&lt;DATE(2026,3,1),SUMIFS('FTE Calculator'!$AL:$AL,'FTE Calculator'!$A:$A,Q$24,'FTE Calculator'!$C:$C,"Matrix 1",'FTE Calculator'!$F:$F,"phone"),SUMIFS('FTE Calculator'!$AO:$AO,'FTE Calculator'!$A:$A,Q$24,'FTE Calculator'!$C:$C,"Matrix 1",'FTE Calculator'!$F:$F,"phone"))</f>
        <v>3.59</v>
      </c>
      <c r="R30" s="20">
        <f>IF(R$24&lt;DATE(2026,3,1),SUMIFS('FTE Calculator'!$AL:$AL,'FTE Calculator'!$A:$A,R$24,'FTE Calculator'!$C:$C,"Matrix 1",'FTE Calculator'!$F:$F,"phone"),SUMIFS('FTE Calculator'!$AO:$AO,'FTE Calculator'!$A:$A,R$24,'FTE Calculator'!$C:$C,"Matrix 1",'FTE Calculator'!$F:$F,"phone"))</f>
        <v>3.25</v>
      </c>
      <c r="S30" s="20">
        <f>IF(S$24&lt;DATE(2026,3,1),SUMIFS('FTE Calculator'!$AL:$AL,'FTE Calculator'!$A:$A,S$24,'FTE Calculator'!$C:$C,"Matrix 1",'FTE Calculator'!$F:$F,"phone"),SUMIFS('FTE Calculator'!$AO:$AO,'FTE Calculator'!$A:$A,S$24,'FTE Calculator'!$C:$C,"Matrix 1",'FTE Calculator'!$F:$F,"phone"))</f>
        <v>3.46</v>
      </c>
      <c r="T30" s="20">
        <f>IF(T$24&lt;DATE(2026,3,1),SUMIFS('FTE Calculator'!$AL:$AL,'FTE Calculator'!$A:$A,T$24,'FTE Calculator'!$C:$C,"Matrix 1",'FTE Calculator'!$F:$F,"phone"),SUMIFS('FTE Calculator'!$AO:$AO,'FTE Calculator'!$A:$A,T$24,'FTE Calculator'!$C:$C,"Matrix 1",'FTE Calculator'!$F:$F,"phone"))</f>
        <v>4.01</v>
      </c>
      <c r="U30" s="20">
        <f>IF(U$24&lt;DATE(2026,3,1),SUMIFS('FTE Calculator'!$AL:$AL,'FTE Calculator'!$A:$A,U$24,'FTE Calculator'!$C:$C,"Matrix 1",'FTE Calculator'!$F:$F,"phone"),SUMIFS('FTE Calculator'!$AO:$AO,'FTE Calculator'!$A:$A,U$24,'FTE Calculator'!$C:$C,"Matrix 1",'FTE Calculator'!$F:$F,"phone"))</f>
        <v>3.95</v>
      </c>
      <c r="V30" s="20">
        <f>IF(V$24&lt;DATE(2026,3,1),SUMIFS('FTE Calculator'!$AL:$AL,'FTE Calculator'!$A:$A,V$24,'FTE Calculator'!$C:$C,"Matrix 1",'FTE Calculator'!$F:$F,"phone"),SUMIFS('FTE Calculator'!$AO:$AO,'FTE Calculator'!$A:$A,V$24,'FTE Calculator'!$C:$C,"Matrix 1",'FTE Calculator'!$F:$F,"phone"))</f>
        <v>3.96</v>
      </c>
      <c r="W30" s="20">
        <f>IF(W$24&lt;DATE(2026,3,1),SUMIFS('FTE Calculator'!$AL:$AL,'FTE Calculator'!$A:$A,W$24,'FTE Calculator'!$C:$C,"Matrix 1",'FTE Calculator'!$F:$F,"phone"),SUMIFS('FTE Calculator'!$AO:$AO,'FTE Calculator'!$A:$A,W$24,'FTE Calculator'!$C:$C,"Matrix 1",'FTE Calculator'!$F:$F,"phone"))</f>
        <v>3.98</v>
      </c>
      <c r="X30" s="20">
        <f>IF(X$24&lt;DATE(2026,3,1),SUMIFS('FTE Calculator'!$AL:$AL,'FTE Calculator'!$A:$A,X$24,'FTE Calculator'!$C:$C,"Matrix 1",'FTE Calculator'!$F:$F,"phone"),SUMIFS('FTE Calculator'!$AO:$AO,'FTE Calculator'!$A:$A,X$24,'FTE Calculator'!$C:$C,"Matrix 1",'FTE Calculator'!$F:$F,"phone"))</f>
        <v>4.1100000000000003</v>
      </c>
      <c r="Y30" s="20">
        <f>IF(Y$24&lt;DATE(2026,3,1),SUMIFS('FTE Calculator'!$AL:$AL,'FTE Calculator'!$A:$A,Y$24,'FTE Calculator'!$C:$C,"Matrix 1",'FTE Calculator'!$F:$F,"phone"),SUMIFS('FTE Calculator'!$AO:$AO,'FTE Calculator'!$A:$A,Y$24,'FTE Calculator'!$C:$C,"Matrix 1",'FTE Calculator'!$F:$F,"phone"))</f>
        <v>4.01</v>
      </c>
      <c r="Z30" s="20">
        <f>IF(Z$24&lt;DATE(2026,3,1),SUMIFS('FTE Calculator'!$AL:$AL,'FTE Calculator'!$A:$A,Z$24,'FTE Calculator'!$C:$C,"Matrix 1",'FTE Calculator'!$F:$F,"phone"),SUMIFS('FTE Calculator'!$AO:$AO,'FTE Calculator'!$A:$A,Z$24,'FTE Calculator'!$C:$C,"Matrix 1",'FTE Calculator'!$F:$F,"phone"))</f>
        <v>3.94</v>
      </c>
      <c r="AA30" s="20">
        <f>IF(AA$24&lt;DATE(2026,3,1),SUMIFS('FTE Calculator'!$AL:$AL,'FTE Calculator'!$A:$A,AA$24,'FTE Calculator'!$C:$C,"Matrix 1",'FTE Calculator'!$F:$F,"phone"),SUMIFS('FTE Calculator'!$AO:$AO,'FTE Calculator'!$A:$A,AA$24,'FTE Calculator'!$C:$C,"Matrix 1",'FTE Calculator'!$F:$F,"phone"))</f>
        <v>4.0599999999999996</v>
      </c>
      <c r="AB30" s="28">
        <f t="shared" si="9"/>
        <v>3.8925000000000001</v>
      </c>
      <c r="AC30" s="20">
        <f>IF(AC$24&lt;DATE(2026,3,1),SUMIFS('FTE Calculator'!$AL:$AL,'FTE Calculator'!$A:$A,AC$24,'FTE Calculator'!$C:$C,"Matrix 1",'FTE Calculator'!$F:$F,"phone"),SUMIFS('FTE Calculator'!$AO:$AO,'FTE Calculator'!$A:$A,AC$24,'FTE Calculator'!$C:$C,"Matrix 1",'FTE Calculator'!$F:$F,"phone"))</f>
        <v>4.16</v>
      </c>
      <c r="AD30" s="20">
        <f>IF(AD$24&lt;DATE(2026,3,1),SUMIFS('FTE Calculator'!$AL:$AL,'FTE Calculator'!$A:$A,AD$24,'FTE Calculator'!$C:$C,"Matrix 1",'FTE Calculator'!$F:$F,"phone"),SUMIFS('FTE Calculator'!$AO:$AO,'FTE Calculator'!$A:$A,AD$24,'FTE Calculator'!$C:$C,"Matrix 1",'FTE Calculator'!$F:$F,"phone"))</f>
        <v>4.13</v>
      </c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</row>
    <row r="31" spans="1:700" x14ac:dyDescent="0.25">
      <c r="A31" s="23" t="s">
        <v>39</v>
      </c>
      <c r="B31" s="24" t="s">
        <v>92</v>
      </c>
      <c r="C31" s="27">
        <f>IF(C$24&lt;DATE(2026,3,1),SUMIFS('FTE Calculator'!$AL:$AL,'FTE Calculator'!$A:$A,C$24,'FTE Calculator'!$C:$C,"Matrix 2",'FTE Calculator'!$F:$F,"phone"),SUMIFS('FTE Calculator'!$AO:$AO,'FTE Calculator'!$A:$A,C$24,'FTE Calculator'!$C:$C,"Matrix 2",'FTE Calculator'!$F:$F,"phone"))</f>
        <v>1.42</v>
      </c>
      <c r="D31" s="27">
        <f>IF(D$24&lt;DATE(2026,3,1),SUMIFS('FTE Calculator'!$AL:$AL,'FTE Calculator'!$A:$A,D$24,'FTE Calculator'!$C:$C,"Matrix 2",'FTE Calculator'!$F:$F,"phone"),SUMIFS('FTE Calculator'!$AO:$AO,'FTE Calculator'!$A:$A,D$24,'FTE Calculator'!$C:$C,"Matrix 2",'FTE Calculator'!$F:$F,"phone"))</f>
        <v>0.31</v>
      </c>
      <c r="E31" s="27">
        <f>IF(E$24&lt;DATE(2026,3,1),SUMIFS('FTE Calculator'!$AL:$AL,'FTE Calculator'!$A:$A,E$24,'FTE Calculator'!$C:$C,"Matrix 2",'FTE Calculator'!$F:$F,"phone"),SUMIFS('FTE Calculator'!$AO:$AO,'FTE Calculator'!$A:$A,E$24,'FTE Calculator'!$C:$C,"Matrix 2",'FTE Calculator'!$F:$F,"phone"))</f>
        <v>0.37</v>
      </c>
      <c r="F31" s="27">
        <f>IF(F$24&lt;DATE(2026,3,1),SUMIFS('FTE Calculator'!$AL:$AL,'FTE Calculator'!$A:$A,F$24,'FTE Calculator'!$C:$C,"Matrix 2",'FTE Calculator'!$F:$F,"phone"),SUMIFS('FTE Calculator'!$AO:$AO,'FTE Calculator'!$A:$A,F$24,'FTE Calculator'!$C:$C,"Matrix 2",'FTE Calculator'!$F:$F,"phone"))</f>
        <v>0.13</v>
      </c>
      <c r="G31" s="27">
        <f>IF(G$24&lt;DATE(2026,3,1),SUMIFS('FTE Calculator'!$AL:$AL,'FTE Calculator'!$A:$A,G$24,'FTE Calculator'!$C:$C,"Matrix 2",'FTE Calculator'!$F:$F,"phone"),SUMIFS('FTE Calculator'!$AO:$AO,'FTE Calculator'!$A:$A,G$24,'FTE Calculator'!$C:$C,"Matrix 2",'FTE Calculator'!$F:$F,"phone"))</f>
        <v>0.7</v>
      </c>
      <c r="H31" s="27">
        <f>IF(H$24&lt;DATE(2026,3,1),SUMIFS('FTE Calculator'!$AL:$AL,'FTE Calculator'!$A:$A,H$24,'FTE Calculator'!$C:$C,"Matrix 2",'FTE Calculator'!$F:$F,"phone"),SUMIFS('FTE Calculator'!$AO:$AO,'FTE Calculator'!$A:$A,H$24,'FTE Calculator'!$C:$C,"Matrix 2",'FTE Calculator'!$F:$F,"phone"))</f>
        <v>0.9</v>
      </c>
      <c r="I31" s="27">
        <f>IF(I$24&lt;DATE(2026,3,1),SUMIFS('FTE Calculator'!$AL:$AL,'FTE Calculator'!$A:$A,I$24,'FTE Calculator'!$C:$C,"Matrix 2",'FTE Calculator'!$F:$F,"phone"),SUMIFS('FTE Calculator'!$AO:$AO,'FTE Calculator'!$A:$A,I$24,'FTE Calculator'!$C:$C,"Matrix 2",'FTE Calculator'!$F:$F,"phone"))</f>
        <v>1.32</v>
      </c>
      <c r="J31" s="27">
        <f>IF(J$24&lt;DATE(2026,3,1),SUMIFS('FTE Calculator'!$AL:$AL,'FTE Calculator'!$A:$A,J$24,'FTE Calculator'!$C:$C,"Matrix 2",'FTE Calculator'!$F:$F,"phone"),SUMIFS('FTE Calculator'!$AO:$AO,'FTE Calculator'!$A:$A,J$24,'FTE Calculator'!$C:$C,"Matrix 2",'FTE Calculator'!$F:$F,"phone"))</f>
        <v>0.71</v>
      </c>
      <c r="K31" s="27">
        <f>IF(K$24&lt;DATE(2026,3,1),SUMIFS('FTE Calculator'!$AL:$AL,'FTE Calculator'!$A:$A,K$24,'FTE Calculator'!$C:$C,"Matrix 2",'FTE Calculator'!$F:$F,"phone"),SUMIFS('FTE Calculator'!$AO:$AO,'FTE Calculator'!$A:$A,K$24,'FTE Calculator'!$C:$C,"Matrix 2",'FTE Calculator'!$F:$F,"phone"))</f>
        <v>0.28000000000000003</v>
      </c>
      <c r="L31" s="27">
        <f>IF(L$24&lt;DATE(2026,3,1),SUMIFS('FTE Calculator'!$AL:$AL,'FTE Calculator'!$A:$A,L$24,'FTE Calculator'!$C:$C,"Matrix 2",'FTE Calculator'!$F:$F,"phone"),SUMIFS('FTE Calculator'!$AO:$AO,'FTE Calculator'!$A:$A,L$24,'FTE Calculator'!$C:$C,"Matrix 2",'FTE Calculator'!$F:$F,"phone"))</f>
        <v>0.28999999999999998</v>
      </c>
      <c r="M31" s="27">
        <f>IF(M$24&lt;DATE(2026,3,1),SUMIFS('FTE Calculator'!$AL:$AL,'FTE Calculator'!$A:$A,M$24,'FTE Calculator'!$C:$C,"Matrix 2",'FTE Calculator'!$F:$F,"phone"),SUMIFS('FTE Calculator'!$AO:$AO,'FTE Calculator'!$A:$A,M$24,'FTE Calculator'!$C:$C,"Matrix 2",'FTE Calculator'!$F:$F,"phone"))</f>
        <v>0.08</v>
      </c>
      <c r="N31" s="27">
        <f>IF(N$24&lt;DATE(2026,3,1),SUMIFS('FTE Calculator'!$AL:$AL,'FTE Calculator'!$A:$A,N$24,'FTE Calculator'!$C:$C,"Matrix 2",'FTE Calculator'!$F:$F,"phone"),SUMIFS('FTE Calculator'!$AO:$AO,'FTE Calculator'!$A:$A,N$24,'FTE Calculator'!$C:$C,"Matrix 2",'FTE Calculator'!$F:$F,"phone"))</f>
        <v>0.04</v>
      </c>
      <c r="O31" s="28">
        <f t="shared" si="8"/>
        <v>0.54583333333333328</v>
      </c>
      <c r="P31" s="27">
        <f>IF(P$24&lt;DATE(2026,3,1),SUMIFS('FTE Calculator'!$AL:$AL,'FTE Calculator'!$A:$A,P$24,'FTE Calculator'!$C:$C,"Matrix 2",'FTE Calculator'!$F:$F,"phone"),SUMIFS('FTE Calculator'!$AO:$AO,'FTE Calculator'!$A:$A,P$24,'FTE Calculator'!$C:$C,"Matrix 2",'FTE Calculator'!$F:$F,"phone"))</f>
        <v>0.08</v>
      </c>
      <c r="Q31" s="27">
        <f>IF(Q$24&lt;DATE(2026,3,1),SUMIFS('FTE Calculator'!$AL:$AL,'FTE Calculator'!$A:$A,Q$24,'FTE Calculator'!$C:$C,"Matrix 2",'FTE Calculator'!$F:$F,"phone"),SUMIFS('FTE Calculator'!$AO:$AO,'FTE Calculator'!$A:$A,Q$24,'FTE Calculator'!$C:$C,"Matrix 2",'FTE Calculator'!$F:$F,"phone"))</f>
        <v>0.04</v>
      </c>
      <c r="R31" s="27">
        <f>IF(R$24&lt;DATE(2026,3,1),SUMIFS('FTE Calculator'!$AL:$AL,'FTE Calculator'!$A:$A,R$24,'FTE Calculator'!$C:$C,"Matrix 2",'FTE Calculator'!$F:$F,"phone"),SUMIFS('FTE Calculator'!$AO:$AO,'FTE Calculator'!$A:$A,R$24,'FTE Calculator'!$C:$C,"Matrix 2",'FTE Calculator'!$F:$F,"phone"))</f>
        <v>0.09</v>
      </c>
      <c r="S31" s="27">
        <f>IF(S$24&lt;DATE(2026,3,1),SUMIFS('FTE Calculator'!$AL:$AL,'FTE Calculator'!$A:$A,S$24,'FTE Calculator'!$C:$C,"Matrix 2",'FTE Calculator'!$F:$F,"phone"),SUMIFS('FTE Calculator'!$AO:$AO,'FTE Calculator'!$A:$A,S$24,'FTE Calculator'!$C:$C,"Matrix 2",'FTE Calculator'!$F:$F,"phone"))</f>
        <v>0.14000000000000001</v>
      </c>
      <c r="T31" s="27">
        <f>IF(T$24&lt;DATE(2026,3,1),SUMIFS('FTE Calculator'!$AL:$AL,'FTE Calculator'!$A:$A,T$24,'FTE Calculator'!$C:$C,"Matrix 2",'FTE Calculator'!$F:$F,"phone"),SUMIFS('FTE Calculator'!$AO:$AO,'FTE Calculator'!$A:$A,T$24,'FTE Calculator'!$C:$C,"Matrix 2",'FTE Calculator'!$F:$F,"phone"))</f>
        <v>0.11</v>
      </c>
      <c r="U31" s="27">
        <f>IF(U$24&lt;DATE(2026,3,1),SUMIFS('FTE Calculator'!$AL:$AL,'FTE Calculator'!$A:$A,U$24,'FTE Calculator'!$C:$C,"Matrix 2",'FTE Calculator'!$F:$F,"phone"),SUMIFS('FTE Calculator'!$AO:$AO,'FTE Calculator'!$A:$A,U$24,'FTE Calculator'!$C:$C,"Matrix 2",'FTE Calculator'!$F:$F,"phone"))</f>
        <v>0.09</v>
      </c>
      <c r="V31" s="27">
        <f>IF(V$24&lt;DATE(2026,3,1),SUMIFS('FTE Calculator'!$AL:$AL,'FTE Calculator'!$A:$A,V$24,'FTE Calculator'!$C:$C,"Matrix 2",'FTE Calculator'!$F:$F,"phone"),SUMIFS('FTE Calculator'!$AO:$AO,'FTE Calculator'!$A:$A,V$24,'FTE Calculator'!$C:$C,"Matrix 2",'FTE Calculator'!$F:$F,"phone"))</f>
        <v>0.09</v>
      </c>
      <c r="W31" s="27">
        <f>IF(W$24&lt;DATE(2026,3,1),SUMIFS('FTE Calculator'!$AL:$AL,'FTE Calculator'!$A:$A,W$24,'FTE Calculator'!$C:$C,"Matrix 2",'FTE Calculator'!$F:$F,"phone"),SUMIFS('FTE Calculator'!$AO:$AO,'FTE Calculator'!$A:$A,W$24,'FTE Calculator'!$C:$C,"Matrix 2",'FTE Calculator'!$F:$F,"phone"))</f>
        <v>0.08</v>
      </c>
      <c r="X31" s="27">
        <f>IF(X$24&lt;DATE(2026,3,1),SUMIFS('FTE Calculator'!$AL:$AL,'FTE Calculator'!$A:$A,X$24,'FTE Calculator'!$C:$C,"Matrix 2",'FTE Calculator'!$F:$F,"phone"),SUMIFS('FTE Calculator'!$AO:$AO,'FTE Calculator'!$A:$A,X$24,'FTE Calculator'!$C:$C,"Matrix 2",'FTE Calculator'!$F:$F,"phone"))</f>
        <v>0.08</v>
      </c>
      <c r="Y31" s="27">
        <f>IF(Y$24&lt;DATE(2026,3,1),SUMIFS('FTE Calculator'!$AL:$AL,'FTE Calculator'!$A:$A,Y$24,'FTE Calculator'!$C:$C,"Matrix 2",'FTE Calculator'!$F:$F,"phone"),SUMIFS('FTE Calculator'!$AO:$AO,'FTE Calculator'!$A:$A,Y$24,'FTE Calculator'!$C:$C,"Matrix 2",'FTE Calculator'!$F:$F,"phone"))</f>
        <v>0.1</v>
      </c>
      <c r="Z31" s="27">
        <f>IF(Z$24&lt;DATE(2026,3,1),SUMIFS('FTE Calculator'!$AL:$AL,'FTE Calculator'!$A:$A,Z$24,'FTE Calculator'!$C:$C,"Matrix 2",'FTE Calculator'!$F:$F,"phone"),SUMIFS('FTE Calculator'!$AO:$AO,'FTE Calculator'!$A:$A,Z$24,'FTE Calculator'!$C:$C,"Matrix 2",'FTE Calculator'!$F:$F,"phone"))</f>
        <v>0.1</v>
      </c>
      <c r="AA31" s="27">
        <f>IF(AA$24&lt;DATE(2026,3,1),SUMIFS('FTE Calculator'!$AL:$AL,'FTE Calculator'!$A:$A,AA$24,'FTE Calculator'!$C:$C,"Matrix 2",'FTE Calculator'!$F:$F,"phone"),SUMIFS('FTE Calculator'!$AO:$AO,'FTE Calculator'!$A:$A,AA$24,'FTE Calculator'!$C:$C,"Matrix 2",'FTE Calculator'!$F:$F,"phone"))</f>
        <v>0.09</v>
      </c>
      <c r="AB31" s="28">
        <f t="shared" si="9"/>
        <v>9.0833333333333321E-2</v>
      </c>
      <c r="AC31" s="27">
        <f>IF(AC$24&lt;DATE(2026,3,1),SUMIFS('FTE Calculator'!$AL:$AL,'FTE Calculator'!$A:$A,AC$24,'FTE Calculator'!$C:$C,"Matrix 2",'FTE Calculator'!$F:$F,"phone"),SUMIFS('FTE Calculator'!$AO:$AO,'FTE Calculator'!$A:$A,AC$24,'FTE Calculator'!$C:$C,"Matrix 2",'FTE Calculator'!$F:$F,"phone"))</f>
        <v>0.09</v>
      </c>
      <c r="AD31" s="27">
        <f>IF(AD$24&lt;DATE(2026,3,1),SUMIFS('FTE Calculator'!$AL:$AL,'FTE Calculator'!$A:$A,AD$24,'FTE Calculator'!$C:$C,"Matrix 2",'FTE Calculator'!$F:$F,"phone"),SUMIFS('FTE Calculator'!$AO:$AO,'FTE Calculator'!$A:$A,AD$24,'FTE Calculator'!$C:$C,"Matrix 2",'FTE Calculator'!$F:$F,"phone"))</f>
        <v>0.09</v>
      </c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</row>
    <row r="32" spans="1:700" x14ac:dyDescent="0.25">
      <c r="A32" s="17" t="s">
        <v>40</v>
      </c>
      <c r="B32" s="18" t="s">
        <v>92</v>
      </c>
      <c r="C32" s="20">
        <f>IF(C$24&lt;DATE(2026,3,1),SUMIFS('FTE Calculator'!$AL:$AL,'FTE Calculator'!$A:$A,C$24,'FTE Calculator'!$C:$C,"Matrix SP1",'FTE Calculator'!$F:$F,"phone"),SUMIFS('FTE Calculator'!$AO:$AO,'FTE Calculator'!$A:$A,C$24,'FTE Calculator'!$C:$C,"Matrix SP1",'FTE Calculator'!$F:$F,"phone"))</f>
        <v>0.01</v>
      </c>
      <c r="D32" s="20">
        <f>IF(D$24&lt;DATE(2026,3,1),SUMIFS('FTE Calculator'!$AL:$AL,'FTE Calculator'!$A:$A,D$24,'FTE Calculator'!$C:$C,"Matrix SP1",'FTE Calculator'!$F:$F,"phone"),SUMIFS('FTE Calculator'!$AO:$AO,'FTE Calculator'!$A:$A,D$24,'FTE Calculator'!$C:$C,"Matrix SP1",'FTE Calculator'!$F:$F,"phone"))</f>
        <v>0.03</v>
      </c>
      <c r="E32" s="20">
        <f>IF(E$24&lt;DATE(2026,3,1),SUMIFS('FTE Calculator'!$AL:$AL,'FTE Calculator'!$A:$A,E$24,'FTE Calculator'!$C:$C,"Matrix SP1",'FTE Calculator'!$F:$F,"phone"),SUMIFS('FTE Calculator'!$AO:$AO,'FTE Calculator'!$A:$A,E$24,'FTE Calculator'!$C:$C,"Matrix SP1",'FTE Calculator'!$F:$F,"phone"))</f>
        <v>0.02</v>
      </c>
      <c r="F32" s="20">
        <f>IF(F$24&lt;DATE(2026,3,1),SUMIFS('FTE Calculator'!$AL:$AL,'FTE Calculator'!$A:$A,F$24,'FTE Calculator'!$C:$C,"Matrix SP1",'FTE Calculator'!$F:$F,"phone"),SUMIFS('FTE Calculator'!$AO:$AO,'FTE Calculator'!$A:$A,F$24,'FTE Calculator'!$C:$C,"Matrix SP1",'FTE Calculator'!$F:$F,"phone"))</f>
        <v>0</v>
      </c>
      <c r="G32" s="20">
        <f>IF(G$24&lt;DATE(2026,3,1),SUMIFS('FTE Calculator'!$AL:$AL,'FTE Calculator'!$A:$A,G$24,'FTE Calculator'!$C:$C,"Matrix SP1",'FTE Calculator'!$F:$F,"phone"),SUMIFS('FTE Calculator'!$AO:$AO,'FTE Calculator'!$A:$A,G$24,'FTE Calculator'!$C:$C,"Matrix SP1",'FTE Calculator'!$F:$F,"phone"))</f>
        <v>0.01</v>
      </c>
      <c r="H32" s="20">
        <f>IF(H$24&lt;DATE(2026,3,1),SUMIFS('FTE Calculator'!$AL:$AL,'FTE Calculator'!$A:$A,H$24,'FTE Calculator'!$C:$C,"Matrix SP1",'FTE Calculator'!$F:$F,"phone"),SUMIFS('FTE Calculator'!$AO:$AO,'FTE Calculator'!$A:$A,H$24,'FTE Calculator'!$C:$C,"Matrix SP1",'FTE Calculator'!$F:$F,"phone"))</f>
        <v>0.01</v>
      </c>
      <c r="I32" s="20">
        <f>IF(I$24&lt;DATE(2026,3,1),SUMIFS('FTE Calculator'!$AL:$AL,'FTE Calculator'!$A:$A,I$24,'FTE Calculator'!$C:$C,"Matrix SP1",'FTE Calculator'!$F:$F,"phone"),SUMIFS('FTE Calculator'!$AO:$AO,'FTE Calculator'!$A:$A,I$24,'FTE Calculator'!$C:$C,"Matrix SP1",'FTE Calculator'!$F:$F,"phone"))</f>
        <v>0.01</v>
      </c>
      <c r="J32" s="20">
        <f>IF(J$24&lt;DATE(2026,3,1),SUMIFS('FTE Calculator'!$AL:$AL,'FTE Calculator'!$A:$A,J$24,'FTE Calculator'!$C:$C,"Matrix SP1",'FTE Calculator'!$F:$F,"phone"),SUMIFS('FTE Calculator'!$AO:$AO,'FTE Calculator'!$A:$A,J$24,'FTE Calculator'!$C:$C,"Matrix SP1",'FTE Calculator'!$F:$F,"phone"))</f>
        <v>0.01</v>
      </c>
      <c r="K32" s="20">
        <f>IF(K$24&lt;DATE(2026,3,1),SUMIFS('FTE Calculator'!$AL:$AL,'FTE Calculator'!$A:$A,K$24,'FTE Calculator'!$C:$C,"Matrix SP1",'FTE Calculator'!$F:$F,"phone"),SUMIFS('FTE Calculator'!$AO:$AO,'FTE Calculator'!$A:$A,K$24,'FTE Calculator'!$C:$C,"Matrix SP1",'FTE Calculator'!$F:$F,"phone"))</f>
        <v>0.01</v>
      </c>
      <c r="L32" s="20">
        <f>IF(L$24&lt;DATE(2026,3,1),SUMIFS('FTE Calculator'!$AL:$AL,'FTE Calculator'!$A:$A,L$24,'FTE Calculator'!$C:$C,"Matrix SP1",'FTE Calculator'!$F:$F,"phone"),SUMIFS('FTE Calculator'!$AO:$AO,'FTE Calculator'!$A:$A,L$24,'FTE Calculator'!$C:$C,"Matrix SP1",'FTE Calculator'!$F:$F,"phone"))</f>
        <v>0</v>
      </c>
      <c r="M32" s="20">
        <f>IF(M$24&lt;DATE(2026,3,1),SUMIFS('FTE Calculator'!$AL:$AL,'FTE Calculator'!$A:$A,M$24,'FTE Calculator'!$C:$C,"Matrix SP1",'FTE Calculator'!$F:$F,"phone"),SUMIFS('FTE Calculator'!$AO:$AO,'FTE Calculator'!$A:$A,M$24,'FTE Calculator'!$C:$C,"Matrix SP1",'FTE Calculator'!$F:$F,"phone"))</f>
        <v>0</v>
      </c>
      <c r="N32" s="20">
        <f>IF(N$24&lt;DATE(2026,3,1),SUMIFS('FTE Calculator'!$AL:$AL,'FTE Calculator'!$A:$A,N$24,'FTE Calculator'!$C:$C,"Matrix SP1",'FTE Calculator'!$F:$F,"phone"),SUMIFS('FTE Calculator'!$AO:$AO,'FTE Calculator'!$A:$A,N$24,'FTE Calculator'!$C:$C,"Matrix SP1",'FTE Calculator'!$F:$F,"phone"))</f>
        <v>0</v>
      </c>
      <c r="O32" s="28">
        <f t="shared" si="8"/>
        <v>9.166666666666665E-3</v>
      </c>
      <c r="P32" s="20">
        <f>IF(P$24&lt;DATE(2026,3,1),SUMIFS('FTE Calculator'!$AL:$AL,'FTE Calculator'!$A:$A,P$24,'FTE Calculator'!$C:$C,"Matrix SP1",'FTE Calculator'!$F:$F,"phone"),SUMIFS('FTE Calculator'!$AO:$AO,'FTE Calculator'!$A:$A,P$24,'FTE Calculator'!$C:$C,"Matrix SP1",'FTE Calculator'!$F:$F,"phone"))</f>
        <v>0.02</v>
      </c>
      <c r="Q32" s="20">
        <f>IF(Q$24&lt;DATE(2026,3,1),SUMIFS('FTE Calculator'!$AL:$AL,'FTE Calculator'!$A:$A,Q$24,'FTE Calculator'!$C:$C,"Matrix SP1",'FTE Calculator'!$F:$F,"phone"),SUMIFS('FTE Calculator'!$AO:$AO,'FTE Calculator'!$A:$A,Q$24,'FTE Calculator'!$C:$C,"Matrix SP1",'FTE Calculator'!$F:$F,"phone"))</f>
        <v>0.01</v>
      </c>
      <c r="R32" s="20">
        <f>IF(R$24&lt;DATE(2026,3,1),SUMIFS('FTE Calculator'!$AL:$AL,'FTE Calculator'!$A:$A,R$24,'FTE Calculator'!$C:$C,"Matrix SP1",'FTE Calculator'!$F:$F,"phone"),SUMIFS('FTE Calculator'!$AO:$AO,'FTE Calculator'!$A:$A,R$24,'FTE Calculator'!$C:$C,"Matrix SP1",'FTE Calculator'!$F:$F,"phone"))</f>
        <v>0.01</v>
      </c>
      <c r="S32" s="20">
        <f>IF(S$24&lt;DATE(2026,3,1),SUMIFS('FTE Calculator'!$AL:$AL,'FTE Calculator'!$A:$A,S$24,'FTE Calculator'!$C:$C,"Matrix SP1",'FTE Calculator'!$F:$F,"phone"),SUMIFS('FTE Calculator'!$AO:$AO,'FTE Calculator'!$A:$A,S$24,'FTE Calculator'!$C:$C,"Matrix SP1",'FTE Calculator'!$F:$F,"phone"))</f>
        <v>0.01</v>
      </c>
      <c r="T32" s="20">
        <f>IF(T$24&lt;DATE(2026,3,1),SUMIFS('FTE Calculator'!$AL:$AL,'FTE Calculator'!$A:$A,T$24,'FTE Calculator'!$C:$C,"Matrix SP1",'FTE Calculator'!$F:$F,"phone"),SUMIFS('FTE Calculator'!$AO:$AO,'FTE Calculator'!$A:$A,T$24,'FTE Calculator'!$C:$C,"Matrix SP1",'FTE Calculator'!$F:$F,"phone"))</f>
        <v>0.01</v>
      </c>
      <c r="U32" s="20">
        <f>IF(U$24&lt;DATE(2026,3,1),SUMIFS('FTE Calculator'!$AL:$AL,'FTE Calculator'!$A:$A,U$24,'FTE Calculator'!$C:$C,"Matrix SP1",'FTE Calculator'!$F:$F,"phone"),SUMIFS('FTE Calculator'!$AO:$AO,'FTE Calculator'!$A:$A,U$24,'FTE Calculator'!$C:$C,"Matrix SP1",'FTE Calculator'!$F:$F,"phone"))</f>
        <v>0.01</v>
      </c>
      <c r="V32" s="20">
        <f>IF(V$24&lt;DATE(2026,3,1),SUMIFS('FTE Calculator'!$AL:$AL,'FTE Calculator'!$A:$A,V$24,'FTE Calculator'!$C:$C,"Matrix SP1",'FTE Calculator'!$F:$F,"phone"),SUMIFS('FTE Calculator'!$AO:$AO,'FTE Calculator'!$A:$A,V$24,'FTE Calculator'!$C:$C,"Matrix SP1",'FTE Calculator'!$F:$F,"phone"))</f>
        <v>0.01</v>
      </c>
      <c r="W32" s="20">
        <f>IF(W$24&lt;DATE(2026,3,1),SUMIFS('FTE Calculator'!$AL:$AL,'FTE Calculator'!$A:$A,W$24,'FTE Calculator'!$C:$C,"Matrix SP1",'FTE Calculator'!$F:$F,"phone"),SUMIFS('FTE Calculator'!$AO:$AO,'FTE Calculator'!$A:$A,W$24,'FTE Calculator'!$C:$C,"Matrix SP1",'FTE Calculator'!$F:$F,"phone"))</f>
        <v>0.01</v>
      </c>
      <c r="X32" s="20">
        <f>IF(X$24&lt;DATE(2026,3,1),SUMIFS('FTE Calculator'!$AL:$AL,'FTE Calculator'!$A:$A,X$24,'FTE Calculator'!$C:$C,"Matrix SP1",'FTE Calculator'!$F:$F,"phone"),SUMIFS('FTE Calculator'!$AO:$AO,'FTE Calculator'!$A:$A,X$24,'FTE Calculator'!$C:$C,"Matrix SP1",'FTE Calculator'!$F:$F,"phone"))</f>
        <v>0.01</v>
      </c>
      <c r="Y32" s="20">
        <f>IF(Y$24&lt;DATE(2026,3,1),SUMIFS('FTE Calculator'!$AL:$AL,'FTE Calculator'!$A:$A,Y$24,'FTE Calculator'!$C:$C,"Matrix SP1",'FTE Calculator'!$F:$F,"phone"),SUMIFS('FTE Calculator'!$AO:$AO,'FTE Calculator'!$A:$A,Y$24,'FTE Calculator'!$C:$C,"Matrix SP1",'FTE Calculator'!$F:$F,"phone"))</f>
        <v>0.01</v>
      </c>
      <c r="Z32" s="20">
        <f>IF(Z$24&lt;DATE(2026,3,1),SUMIFS('FTE Calculator'!$AL:$AL,'FTE Calculator'!$A:$A,Z$24,'FTE Calculator'!$C:$C,"Matrix SP1",'FTE Calculator'!$F:$F,"phone"),SUMIFS('FTE Calculator'!$AO:$AO,'FTE Calculator'!$A:$A,Z$24,'FTE Calculator'!$C:$C,"Matrix SP1",'FTE Calculator'!$F:$F,"phone"))</f>
        <v>0.01</v>
      </c>
      <c r="AA32" s="20">
        <f>IF(AA$24&lt;DATE(2026,3,1),SUMIFS('FTE Calculator'!$AL:$AL,'FTE Calculator'!$A:$A,AA$24,'FTE Calculator'!$C:$C,"Matrix SP1",'FTE Calculator'!$F:$F,"phone"),SUMIFS('FTE Calculator'!$AO:$AO,'FTE Calculator'!$A:$A,AA$24,'FTE Calculator'!$C:$C,"Matrix SP1",'FTE Calculator'!$F:$F,"phone"))</f>
        <v>0.01</v>
      </c>
      <c r="AB32" s="28">
        <f t="shared" si="9"/>
        <v>1.0833333333333332E-2</v>
      </c>
      <c r="AC32" s="20">
        <f>IF(AC$24&lt;DATE(2026,3,1),SUMIFS('FTE Calculator'!$AL:$AL,'FTE Calculator'!$A:$A,AC$24,'FTE Calculator'!$C:$C,"Matrix SP1",'FTE Calculator'!$F:$F,"phone"),SUMIFS('FTE Calculator'!$AO:$AO,'FTE Calculator'!$A:$A,AC$24,'FTE Calculator'!$C:$C,"Matrix SP1",'FTE Calculator'!$F:$F,"phone"))</f>
        <v>0.01</v>
      </c>
      <c r="AD32" s="20">
        <f>IF(AD$24&lt;DATE(2026,3,1),SUMIFS('FTE Calculator'!$AL:$AL,'FTE Calculator'!$A:$A,AD$24,'FTE Calculator'!$C:$C,"Matrix SP1",'FTE Calculator'!$F:$F,"phone"),SUMIFS('FTE Calculator'!$AO:$AO,'FTE Calculator'!$A:$A,AD$24,'FTE Calculator'!$C:$C,"Matrix SP1",'FTE Calculator'!$F:$F,"phone"))</f>
        <v>0.01</v>
      </c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</row>
    <row r="33" spans="1:700" x14ac:dyDescent="0.25">
      <c r="A33" s="23" t="s">
        <v>41</v>
      </c>
      <c r="B33" s="24" t="s">
        <v>92</v>
      </c>
      <c r="C33" s="27">
        <f>IF(C$24&lt;DATE(2026,3,1),SUMIFS('FTE Calculator'!$AL:$AL,'FTE Calculator'!$A:$A,C$24,'FTE Calculator'!$C:$C,"Matrix SP2",'FTE Calculator'!$F:$F,"phone"),SUMIFS('FTE Calculator'!$AO:$AO,'FTE Calculator'!$A:$A,C$24,'FTE Calculator'!$C:$C,"Matrix SP2",'FTE Calculator'!$F:$F,"phone"))</f>
        <v>0</v>
      </c>
      <c r="D33" s="27">
        <f>IF(D$24&lt;DATE(2026,3,1),SUMIFS('FTE Calculator'!$AL:$AL,'FTE Calculator'!$A:$A,D$24,'FTE Calculator'!$C:$C,"Matrix SP2",'FTE Calculator'!$F:$F,"phone"),SUMIFS('FTE Calculator'!$AO:$AO,'FTE Calculator'!$A:$A,D$24,'FTE Calculator'!$C:$C,"Matrix SP2",'FTE Calculator'!$F:$F,"phone"))</f>
        <v>0</v>
      </c>
      <c r="E33" s="27">
        <f>IF(E$24&lt;DATE(2026,3,1),SUMIFS('FTE Calculator'!$AL:$AL,'FTE Calculator'!$A:$A,E$24,'FTE Calculator'!$C:$C,"Matrix SP2",'FTE Calculator'!$F:$F,"phone"),SUMIFS('FTE Calculator'!$AO:$AO,'FTE Calculator'!$A:$A,E$24,'FTE Calculator'!$C:$C,"Matrix SP2",'FTE Calculator'!$F:$F,"phone"))</f>
        <v>0</v>
      </c>
      <c r="F33" s="27">
        <f>IF(F$24&lt;DATE(2026,3,1),SUMIFS('FTE Calculator'!$AL:$AL,'FTE Calculator'!$A:$A,F$24,'FTE Calculator'!$C:$C,"Matrix SP2",'FTE Calculator'!$F:$F,"phone"),SUMIFS('FTE Calculator'!$AO:$AO,'FTE Calculator'!$A:$A,F$24,'FTE Calculator'!$C:$C,"Matrix SP2",'FTE Calculator'!$F:$F,"phone"))</f>
        <v>0</v>
      </c>
      <c r="G33" s="27">
        <f>IF(G$24&lt;DATE(2026,3,1),SUMIFS('FTE Calculator'!$AL:$AL,'FTE Calculator'!$A:$A,G$24,'FTE Calculator'!$C:$C,"Matrix SP2",'FTE Calculator'!$F:$F,"phone"),SUMIFS('FTE Calculator'!$AO:$AO,'FTE Calculator'!$A:$A,G$24,'FTE Calculator'!$C:$C,"Matrix SP2",'FTE Calculator'!$F:$F,"phone"))</f>
        <v>0</v>
      </c>
      <c r="H33" s="27">
        <f>IF(H$24&lt;DATE(2026,3,1),SUMIFS('FTE Calculator'!$AL:$AL,'FTE Calculator'!$A:$A,H$24,'FTE Calculator'!$C:$C,"Matrix SP2",'FTE Calculator'!$F:$F,"phone"),SUMIFS('FTE Calculator'!$AO:$AO,'FTE Calculator'!$A:$A,H$24,'FTE Calculator'!$C:$C,"Matrix SP2",'FTE Calculator'!$F:$F,"phone"))</f>
        <v>0</v>
      </c>
      <c r="I33" s="27">
        <f>IF(I$24&lt;DATE(2026,3,1),SUMIFS('FTE Calculator'!$AL:$AL,'FTE Calculator'!$A:$A,I$24,'FTE Calculator'!$C:$C,"Matrix SP2",'FTE Calculator'!$F:$F,"phone"),SUMIFS('FTE Calculator'!$AO:$AO,'FTE Calculator'!$A:$A,I$24,'FTE Calculator'!$C:$C,"Matrix SP2",'FTE Calculator'!$F:$F,"phone"))</f>
        <v>0</v>
      </c>
      <c r="J33" s="27">
        <f>IF(J$24&lt;DATE(2026,3,1),SUMIFS('FTE Calculator'!$AL:$AL,'FTE Calculator'!$A:$A,J$24,'FTE Calculator'!$C:$C,"Matrix SP2",'FTE Calculator'!$F:$F,"phone"),SUMIFS('FTE Calculator'!$AO:$AO,'FTE Calculator'!$A:$A,J$24,'FTE Calculator'!$C:$C,"Matrix SP2",'FTE Calculator'!$F:$F,"phone"))</f>
        <v>0</v>
      </c>
      <c r="K33" s="27">
        <f>IF(K$24&lt;DATE(2026,3,1),SUMIFS('FTE Calculator'!$AL:$AL,'FTE Calculator'!$A:$A,K$24,'FTE Calculator'!$C:$C,"Matrix SP2",'FTE Calculator'!$F:$F,"phone"),SUMIFS('FTE Calculator'!$AO:$AO,'FTE Calculator'!$A:$A,K$24,'FTE Calculator'!$C:$C,"Matrix SP2",'FTE Calculator'!$F:$F,"phone"))</f>
        <v>0</v>
      </c>
      <c r="L33" s="27">
        <f>IF(L$24&lt;DATE(2026,3,1),SUMIFS('FTE Calculator'!$AL:$AL,'FTE Calculator'!$A:$A,L$24,'FTE Calculator'!$C:$C,"Matrix SP2",'FTE Calculator'!$F:$F,"phone"),SUMIFS('FTE Calculator'!$AO:$AO,'FTE Calculator'!$A:$A,L$24,'FTE Calculator'!$C:$C,"Matrix SP2",'FTE Calculator'!$F:$F,"phone"))</f>
        <v>0</v>
      </c>
      <c r="M33" s="27">
        <f>IF(M$24&lt;DATE(2026,3,1),SUMIFS('FTE Calculator'!$AL:$AL,'FTE Calculator'!$A:$A,M$24,'FTE Calculator'!$C:$C,"Matrix SP2",'FTE Calculator'!$F:$F,"phone"),SUMIFS('FTE Calculator'!$AO:$AO,'FTE Calculator'!$A:$A,M$24,'FTE Calculator'!$C:$C,"Matrix SP2",'FTE Calculator'!$F:$F,"phone"))</f>
        <v>0</v>
      </c>
      <c r="N33" s="27">
        <f>IF(N$24&lt;DATE(2026,3,1),SUMIFS('FTE Calculator'!$AL:$AL,'FTE Calculator'!$A:$A,N$24,'FTE Calculator'!$C:$C,"Matrix SP2",'FTE Calculator'!$F:$F,"phone"),SUMIFS('FTE Calculator'!$AO:$AO,'FTE Calculator'!$A:$A,N$24,'FTE Calculator'!$C:$C,"Matrix SP2",'FTE Calculator'!$F:$F,"phone"))</f>
        <v>0</v>
      </c>
      <c r="O33" s="28">
        <f t="shared" si="8"/>
        <v>0</v>
      </c>
      <c r="P33" s="27">
        <f>IF(P$24&lt;DATE(2026,3,1),SUMIFS('FTE Calculator'!$AL:$AL,'FTE Calculator'!$A:$A,P$24,'FTE Calculator'!$C:$C,"Matrix SP2",'FTE Calculator'!$F:$F,"phone"),SUMIFS('FTE Calculator'!$AO:$AO,'FTE Calculator'!$A:$A,P$24,'FTE Calculator'!$C:$C,"Matrix SP2",'FTE Calculator'!$F:$F,"phone"))</f>
        <v>0</v>
      </c>
      <c r="Q33" s="27">
        <f>IF(Q$24&lt;DATE(2026,3,1),SUMIFS('FTE Calculator'!$AL:$AL,'FTE Calculator'!$A:$A,Q$24,'FTE Calculator'!$C:$C,"Matrix SP2",'FTE Calculator'!$F:$F,"phone"),SUMIFS('FTE Calculator'!$AO:$AO,'FTE Calculator'!$A:$A,Q$24,'FTE Calculator'!$C:$C,"Matrix SP2",'FTE Calculator'!$F:$F,"phone"))</f>
        <v>0</v>
      </c>
      <c r="R33" s="27">
        <f>IF(R$24&lt;DATE(2026,3,1),SUMIFS('FTE Calculator'!$AL:$AL,'FTE Calculator'!$A:$A,R$24,'FTE Calculator'!$C:$C,"Matrix SP2",'FTE Calculator'!$F:$F,"phone"),SUMIFS('FTE Calculator'!$AO:$AO,'FTE Calculator'!$A:$A,R$24,'FTE Calculator'!$C:$C,"Matrix SP2",'FTE Calculator'!$F:$F,"phone"))</f>
        <v>0</v>
      </c>
      <c r="S33" s="27">
        <f>IF(S$24&lt;DATE(2026,3,1),SUMIFS('FTE Calculator'!$AL:$AL,'FTE Calculator'!$A:$A,S$24,'FTE Calculator'!$C:$C,"Matrix SP2",'FTE Calculator'!$F:$F,"phone"),SUMIFS('FTE Calculator'!$AO:$AO,'FTE Calculator'!$A:$A,S$24,'FTE Calculator'!$C:$C,"Matrix SP2",'FTE Calculator'!$F:$F,"phone"))</f>
        <v>0</v>
      </c>
      <c r="T33" s="27">
        <f>IF(T$24&lt;DATE(2026,3,1),SUMIFS('FTE Calculator'!$AL:$AL,'FTE Calculator'!$A:$A,T$24,'FTE Calculator'!$C:$C,"Matrix SP2",'FTE Calculator'!$F:$F,"phone"),SUMIFS('FTE Calculator'!$AO:$AO,'FTE Calculator'!$A:$A,T$24,'FTE Calculator'!$C:$C,"Matrix SP2",'FTE Calculator'!$F:$F,"phone"))</f>
        <v>0</v>
      </c>
      <c r="U33" s="27">
        <f>IF(U$24&lt;DATE(2026,3,1),SUMIFS('FTE Calculator'!$AL:$AL,'FTE Calculator'!$A:$A,U$24,'FTE Calculator'!$C:$C,"Matrix SP2",'FTE Calculator'!$F:$F,"phone"),SUMIFS('FTE Calculator'!$AO:$AO,'FTE Calculator'!$A:$A,U$24,'FTE Calculator'!$C:$C,"Matrix SP2",'FTE Calculator'!$F:$F,"phone"))</f>
        <v>0</v>
      </c>
      <c r="V33" s="27">
        <f>IF(V$24&lt;DATE(2026,3,1),SUMIFS('FTE Calculator'!$AL:$AL,'FTE Calculator'!$A:$A,V$24,'FTE Calculator'!$C:$C,"Matrix SP2",'FTE Calculator'!$F:$F,"phone"),SUMIFS('FTE Calculator'!$AO:$AO,'FTE Calculator'!$A:$A,V$24,'FTE Calculator'!$C:$C,"Matrix SP2",'FTE Calculator'!$F:$F,"phone"))</f>
        <v>0</v>
      </c>
      <c r="W33" s="27">
        <f>IF(W$24&lt;DATE(2026,3,1),SUMIFS('FTE Calculator'!$AL:$AL,'FTE Calculator'!$A:$A,W$24,'FTE Calculator'!$C:$C,"Matrix SP2",'FTE Calculator'!$F:$F,"phone"),SUMIFS('FTE Calculator'!$AO:$AO,'FTE Calculator'!$A:$A,W$24,'FTE Calculator'!$C:$C,"Matrix SP2",'FTE Calculator'!$F:$F,"phone"))</f>
        <v>0</v>
      </c>
      <c r="X33" s="27">
        <f>IF(X$24&lt;DATE(2026,3,1),SUMIFS('FTE Calculator'!$AL:$AL,'FTE Calculator'!$A:$A,X$24,'FTE Calculator'!$C:$C,"Matrix SP2",'FTE Calculator'!$F:$F,"phone"),SUMIFS('FTE Calculator'!$AO:$AO,'FTE Calculator'!$A:$A,X$24,'FTE Calculator'!$C:$C,"Matrix SP2",'FTE Calculator'!$F:$F,"phone"))</f>
        <v>0</v>
      </c>
      <c r="Y33" s="27">
        <f>IF(Y$24&lt;DATE(2026,3,1),SUMIFS('FTE Calculator'!$AL:$AL,'FTE Calculator'!$A:$A,Y$24,'FTE Calculator'!$C:$C,"Matrix SP2",'FTE Calculator'!$F:$F,"phone"),SUMIFS('FTE Calculator'!$AO:$AO,'FTE Calculator'!$A:$A,Y$24,'FTE Calculator'!$C:$C,"Matrix SP2",'FTE Calculator'!$F:$F,"phone"))</f>
        <v>0</v>
      </c>
      <c r="Z33" s="27">
        <f>IF(Z$24&lt;DATE(2026,3,1),SUMIFS('FTE Calculator'!$AL:$AL,'FTE Calculator'!$A:$A,Z$24,'FTE Calculator'!$C:$C,"Matrix SP2",'FTE Calculator'!$F:$F,"phone"),SUMIFS('FTE Calculator'!$AO:$AO,'FTE Calculator'!$A:$A,Z$24,'FTE Calculator'!$C:$C,"Matrix SP2",'FTE Calculator'!$F:$F,"phone"))</f>
        <v>0</v>
      </c>
      <c r="AA33" s="27">
        <f>IF(AA$24&lt;DATE(2026,3,1),SUMIFS('FTE Calculator'!$AL:$AL,'FTE Calculator'!$A:$A,AA$24,'FTE Calculator'!$C:$C,"Matrix SP2",'FTE Calculator'!$F:$F,"phone"),SUMIFS('FTE Calculator'!$AO:$AO,'FTE Calculator'!$A:$A,AA$24,'FTE Calculator'!$C:$C,"Matrix SP2",'FTE Calculator'!$F:$F,"phone"))</f>
        <v>0</v>
      </c>
      <c r="AB33" s="28">
        <f t="shared" si="9"/>
        <v>0</v>
      </c>
      <c r="AC33" s="27">
        <f>IF(AC$24&lt;DATE(2026,3,1),SUMIFS('FTE Calculator'!$AL:$AL,'FTE Calculator'!$A:$A,AC$24,'FTE Calculator'!$C:$C,"Matrix SP2",'FTE Calculator'!$F:$F,"phone"),SUMIFS('FTE Calculator'!$AO:$AO,'FTE Calculator'!$A:$A,AC$24,'FTE Calculator'!$C:$C,"Matrix SP2",'FTE Calculator'!$F:$F,"phone"))</f>
        <v>0</v>
      </c>
      <c r="AD33" s="27">
        <f>IF(AD$24&lt;DATE(2026,3,1),SUMIFS('FTE Calculator'!$AL:$AL,'FTE Calculator'!$A:$A,AD$24,'FTE Calculator'!$C:$C,"Matrix SP2",'FTE Calculator'!$F:$F,"phone"),SUMIFS('FTE Calculator'!$AO:$AO,'FTE Calculator'!$A:$A,AD$24,'FTE Calculator'!$C:$C,"Matrix SP2",'FTE Calculator'!$F:$F,"phone"))</f>
        <v>0</v>
      </c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</row>
    <row r="34" spans="1:700" x14ac:dyDescent="0.25">
      <c r="A34" s="17" t="s">
        <v>42</v>
      </c>
      <c r="B34" s="18" t="s">
        <v>92</v>
      </c>
      <c r="C34" s="20">
        <f>IF(C$24&lt;DATE(2026,3,1),SUMIFS('FTE Calculator'!$AL:$AL,'FTE Calculator'!$A:$A,C$24,'FTE Calculator'!$C:$C,"OneHome",'FTE Calculator'!$F:$F,"phone"),SUMIFS('FTE Calculator'!$AO:$AO,'FTE Calculator'!$A:$A,C$24,'FTE Calculator'!$C:$C,"OneHome",'FTE Calculator'!$F:$F,"phone"))</f>
        <v>0</v>
      </c>
      <c r="D34" s="20">
        <f>IF(D$24&lt;DATE(2026,3,1),SUMIFS('FTE Calculator'!$AL:$AL,'FTE Calculator'!$A:$A,D$24,'FTE Calculator'!$C:$C,"OneHome",'FTE Calculator'!$F:$F,"phone"),SUMIFS('FTE Calculator'!$AO:$AO,'FTE Calculator'!$A:$A,D$24,'FTE Calculator'!$C:$C,"OneHome",'FTE Calculator'!$F:$F,"phone"))</f>
        <v>0</v>
      </c>
      <c r="E34" s="20">
        <f>IF(E$24&lt;DATE(2026,3,1),SUMIFS('FTE Calculator'!$AL:$AL,'FTE Calculator'!$A:$A,E$24,'FTE Calculator'!$C:$C,"OneHome",'FTE Calculator'!$F:$F,"phone"),SUMIFS('FTE Calculator'!$AO:$AO,'FTE Calculator'!$A:$A,E$24,'FTE Calculator'!$C:$C,"OneHome",'FTE Calculator'!$F:$F,"phone"))</f>
        <v>0</v>
      </c>
      <c r="F34" s="20">
        <f>IF(F$24&lt;DATE(2026,3,1),SUMIFS('FTE Calculator'!$AL:$AL,'FTE Calculator'!$A:$A,F$24,'FTE Calculator'!$C:$C,"OneHome",'FTE Calculator'!$F:$F,"phone"),SUMIFS('FTE Calculator'!$AO:$AO,'FTE Calculator'!$A:$A,F$24,'FTE Calculator'!$C:$C,"OneHome",'FTE Calculator'!$F:$F,"phone"))</f>
        <v>0</v>
      </c>
      <c r="G34" s="20">
        <f>IF(G$24&lt;DATE(2026,3,1),SUMIFS('FTE Calculator'!$AL:$AL,'FTE Calculator'!$A:$A,G$24,'FTE Calculator'!$C:$C,"OneHome",'FTE Calculator'!$F:$F,"phone"),SUMIFS('FTE Calculator'!$AO:$AO,'FTE Calculator'!$A:$A,G$24,'FTE Calculator'!$C:$C,"OneHome",'FTE Calculator'!$F:$F,"phone"))</f>
        <v>0</v>
      </c>
      <c r="H34" s="20">
        <f>IF(H$24&lt;DATE(2026,3,1),SUMIFS('FTE Calculator'!$AL:$AL,'FTE Calculator'!$A:$A,H$24,'FTE Calculator'!$C:$C,"OneHome",'FTE Calculator'!$F:$F,"phone"),SUMIFS('FTE Calculator'!$AO:$AO,'FTE Calculator'!$A:$A,H$24,'FTE Calculator'!$C:$C,"OneHome",'FTE Calculator'!$F:$F,"phone"))</f>
        <v>0</v>
      </c>
      <c r="I34" s="20">
        <f>IF(I$24&lt;DATE(2026,3,1),SUMIFS('FTE Calculator'!$AL:$AL,'FTE Calculator'!$A:$A,I$24,'FTE Calculator'!$C:$C,"OneHome",'FTE Calculator'!$F:$F,"phone"),SUMIFS('FTE Calculator'!$AO:$AO,'FTE Calculator'!$A:$A,I$24,'FTE Calculator'!$C:$C,"OneHome",'FTE Calculator'!$F:$F,"phone"))</f>
        <v>0</v>
      </c>
      <c r="J34" s="20">
        <f>IF(J$24&lt;DATE(2026,3,1),SUMIFS('FTE Calculator'!$AL:$AL,'FTE Calculator'!$A:$A,J$24,'FTE Calculator'!$C:$C,"OneHome",'FTE Calculator'!$F:$F,"phone"),SUMIFS('FTE Calculator'!$AO:$AO,'FTE Calculator'!$A:$A,J$24,'FTE Calculator'!$C:$C,"OneHome",'FTE Calculator'!$F:$F,"phone"))</f>
        <v>0</v>
      </c>
      <c r="K34" s="20">
        <f>IF(K$24&lt;DATE(2026,3,1),SUMIFS('FTE Calculator'!$AL:$AL,'FTE Calculator'!$A:$A,K$24,'FTE Calculator'!$C:$C,"OneHome",'FTE Calculator'!$F:$F,"phone"),SUMIFS('FTE Calculator'!$AO:$AO,'FTE Calculator'!$A:$A,K$24,'FTE Calculator'!$C:$C,"OneHome",'FTE Calculator'!$F:$F,"phone"))</f>
        <v>0</v>
      </c>
      <c r="L34" s="20">
        <f>IF(L$24&lt;DATE(2026,3,1),SUMIFS('FTE Calculator'!$AL:$AL,'FTE Calculator'!$A:$A,L$24,'FTE Calculator'!$C:$C,"OneHome",'FTE Calculator'!$F:$F,"phone"),SUMIFS('FTE Calculator'!$AO:$AO,'FTE Calculator'!$A:$A,L$24,'FTE Calculator'!$C:$C,"OneHome",'FTE Calculator'!$F:$F,"phone"))</f>
        <v>0</v>
      </c>
      <c r="M34" s="20">
        <f>IF(M$24&lt;DATE(2026,3,1),SUMIFS('FTE Calculator'!$AL:$AL,'FTE Calculator'!$A:$A,M$24,'FTE Calculator'!$C:$C,"OneHome",'FTE Calculator'!$F:$F,"phone"),SUMIFS('FTE Calculator'!$AO:$AO,'FTE Calculator'!$A:$A,M$24,'FTE Calculator'!$C:$C,"OneHome",'FTE Calculator'!$F:$F,"phone"))</f>
        <v>0</v>
      </c>
      <c r="N34" s="20">
        <f>IF(N$24&lt;DATE(2026,3,1),SUMIFS('FTE Calculator'!$AL:$AL,'FTE Calculator'!$A:$A,N$24,'FTE Calculator'!$C:$C,"OneHome",'FTE Calculator'!$F:$F,"phone"),SUMIFS('FTE Calculator'!$AO:$AO,'FTE Calculator'!$A:$A,N$24,'FTE Calculator'!$C:$C,"OneHome",'FTE Calculator'!$F:$F,"phone"))</f>
        <v>0</v>
      </c>
      <c r="O34" s="28">
        <f t="shared" si="8"/>
        <v>0</v>
      </c>
      <c r="P34" s="20">
        <f>IF(P$24&lt;DATE(2026,3,1),SUMIFS('FTE Calculator'!$AL:$AL,'FTE Calculator'!$A:$A,P$24,'FTE Calculator'!$C:$C,"OneHome",'FTE Calculator'!$F:$F,"phone"),SUMIFS('FTE Calculator'!$AO:$AO,'FTE Calculator'!$A:$A,P$24,'FTE Calculator'!$C:$C,"OneHome",'FTE Calculator'!$F:$F,"phone"))</f>
        <v>0</v>
      </c>
      <c r="Q34" s="20">
        <f>IF(Q$24&lt;DATE(2026,3,1),SUMIFS('FTE Calculator'!$AL:$AL,'FTE Calculator'!$A:$A,Q$24,'FTE Calculator'!$C:$C,"OneHome",'FTE Calculator'!$F:$F,"phone"),SUMIFS('FTE Calculator'!$AO:$AO,'FTE Calculator'!$A:$A,Q$24,'FTE Calculator'!$C:$C,"OneHome",'FTE Calculator'!$F:$F,"phone"))</f>
        <v>0</v>
      </c>
      <c r="R34" s="20">
        <f>IF(R$24&lt;DATE(2026,3,1),SUMIFS('FTE Calculator'!$AL:$AL,'FTE Calculator'!$A:$A,R$24,'FTE Calculator'!$C:$C,"OneHome",'FTE Calculator'!$F:$F,"phone"),SUMIFS('FTE Calculator'!$AO:$AO,'FTE Calculator'!$A:$A,R$24,'FTE Calculator'!$C:$C,"OneHome",'FTE Calculator'!$F:$F,"phone"))</f>
        <v>0</v>
      </c>
      <c r="S34" s="20">
        <f>IF(S$24&lt;DATE(2026,3,1),SUMIFS('FTE Calculator'!$AL:$AL,'FTE Calculator'!$A:$A,S$24,'FTE Calculator'!$C:$C,"OneHome",'FTE Calculator'!$F:$F,"phone"),SUMIFS('FTE Calculator'!$AO:$AO,'FTE Calculator'!$A:$A,S$24,'FTE Calculator'!$C:$C,"OneHome",'FTE Calculator'!$F:$F,"phone"))</f>
        <v>0</v>
      </c>
      <c r="T34" s="20">
        <f>IF(T$24&lt;DATE(2026,3,1),SUMIFS('FTE Calculator'!$AL:$AL,'FTE Calculator'!$A:$A,T$24,'FTE Calculator'!$C:$C,"OneHome",'FTE Calculator'!$F:$F,"phone"),SUMIFS('FTE Calculator'!$AO:$AO,'FTE Calculator'!$A:$A,T$24,'FTE Calculator'!$C:$C,"OneHome",'FTE Calculator'!$F:$F,"phone"))</f>
        <v>0</v>
      </c>
      <c r="U34" s="20">
        <f>IF(U$24&lt;DATE(2026,3,1),SUMIFS('FTE Calculator'!$AL:$AL,'FTE Calculator'!$A:$A,U$24,'FTE Calculator'!$C:$C,"OneHome",'FTE Calculator'!$F:$F,"phone"),SUMIFS('FTE Calculator'!$AO:$AO,'FTE Calculator'!$A:$A,U$24,'FTE Calculator'!$C:$C,"OneHome",'FTE Calculator'!$F:$F,"phone"))</f>
        <v>0</v>
      </c>
      <c r="V34" s="20">
        <f>IF(V$24&lt;DATE(2026,3,1),SUMIFS('FTE Calculator'!$AL:$AL,'FTE Calculator'!$A:$A,V$24,'FTE Calculator'!$C:$C,"OneHome",'FTE Calculator'!$F:$F,"phone"),SUMIFS('FTE Calculator'!$AO:$AO,'FTE Calculator'!$A:$A,V$24,'FTE Calculator'!$C:$C,"OneHome",'FTE Calculator'!$F:$F,"phone"))</f>
        <v>0</v>
      </c>
      <c r="W34" s="20">
        <f>IF(W$24&lt;DATE(2026,3,1),SUMIFS('FTE Calculator'!$AL:$AL,'FTE Calculator'!$A:$A,W$24,'FTE Calculator'!$C:$C,"OneHome",'FTE Calculator'!$F:$F,"phone"),SUMIFS('FTE Calculator'!$AO:$AO,'FTE Calculator'!$A:$A,W$24,'FTE Calculator'!$C:$C,"OneHome",'FTE Calculator'!$F:$F,"phone"))</f>
        <v>0</v>
      </c>
      <c r="X34" s="20">
        <f>IF(X$24&lt;DATE(2026,3,1),SUMIFS('FTE Calculator'!$AL:$AL,'FTE Calculator'!$A:$A,X$24,'FTE Calculator'!$C:$C,"OneHome",'FTE Calculator'!$F:$F,"phone"),SUMIFS('FTE Calculator'!$AO:$AO,'FTE Calculator'!$A:$A,X$24,'FTE Calculator'!$C:$C,"OneHome",'FTE Calculator'!$F:$F,"phone"))</f>
        <v>0</v>
      </c>
      <c r="Y34" s="20">
        <f>IF(Y$24&lt;DATE(2026,3,1),SUMIFS('FTE Calculator'!$AL:$AL,'FTE Calculator'!$A:$A,Y$24,'FTE Calculator'!$C:$C,"OneHome",'FTE Calculator'!$F:$F,"phone"),SUMIFS('FTE Calculator'!$AO:$AO,'FTE Calculator'!$A:$A,Y$24,'FTE Calculator'!$C:$C,"OneHome",'FTE Calculator'!$F:$F,"phone"))</f>
        <v>0</v>
      </c>
      <c r="Z34" s="20">
        <f>IF(Z$24&lt;DATE(2026,3,1),SUMIFS('FTE Calculator'!$AL:$AL,'FTE Calculator'!$A:$A,Z$24,'FTE Calculator'!$C:$C,"OneHome",'FTE Calculator'!$F:$F,"phone"),SUMIFS('FTE Calculator'!$AO:$AO,'FTE Calculator'!$A:$A,Z$24,'FTE Calculator'!$C:$C,"OneHome",'FTE Calculator'!$F:$F,"phone"))</f>
        <v>0</v>
      </c>
      <c r="AA34" s="20">
        <f>IF(AA$24&lt;DATE(2026,3,1),SUMIFS('FTE Calculator'!$AL:$AL,'FTE Calculator'!$A:$A,AA$24,'FTE Calculator'!$C:$C,"OneHome",'FTE Calculator'!$F:$F,"phone"),SUMIFS('FTE Calculator'!$AO:$AO,'FTE Calculator'!$A:$A,AA$24,'FTE Calculator'!$C:$C,"OneHome",'FTE Calculator'!$F:$F,"phone"))</f>
        <v>0</v>
      </c>
      <c r="AB34" s="28">
        <f t="shared" si="9"/>
        <v>0</v>
      </c>
      <c r="AC34" s="20">
        <f>IF(AC$24&lt;DATE(2026,3,1),SUMIFS('FTE Calculator'!$AL:$AL,'FTE Calculator'!$A:$A,AC$24,'FTE Calculator'!$C:$C,"OneHome",'FTE Calculator'!$F:$F,"phone"),SUMIFS('FTE Calculator'!$AO:$AO,'FTE Calculator'!$A:$A,AC$24,'FTE Calculator'!$C:$C,"OneHome",'FTE Calculator'!$F:$F,"phone"))</f>
        <v>0</v>
      </c>
      <c r="AD34" s="20">
        <f>IF(AD$24&lt;DATE(2026,3,1),SUMIFS('FTE Calculator'!$AL:$AL,'FTE Calculator'!$A:$A,AD$24,'FTE Calculator'!$C:$C,"OneHome",'FTE Calculator'!$F:$F,"phone"),SUMIFS('FTE Calculator'!$AO:$AO,'FTE Calculator'!$A:$A,AD$24,'FTE Calculator'!$C:$C,"OneHome",'FTE Calculator'!$F:$F,"phone"))</f>
        <v>0</v>
      </c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</row>
    <row r="35" spans="1:700" x14ac:dyDescent="0.25">
      <c r="A35" s="23" t="s">
        <v>43</v>
      </c>
      <c r="B35" s="24" t="s">
        <v>92</v>
      </c>
      <c r="C35" s="27">
        <f>IF(C$24&lt;DATE(2026,3,1),SUMIFS('FTE Calculator'!$AL:$AL,'FTE Calculator'!$A:$A,C$24,'FTE Calculator'!$C:$C,"PropWatch",'FTE Calculator'!$F:$F,"phone"),SUMIFS('FTE Calculator'!$AO:$AO,'FTE Calculator'!$A:$A,C$24,'FTE Calculator'!$C:$C,"PropWatch",'FTE Calculator'!$F:$F,"phone"))</f>
        <v>0.01</v>
      </c>
      <c r="D35" s="27">
        <f>IF(D$24&lt;DATE(2026,3,1),SUMIFS('FTE Calculator'!$AL:$AL,'FTE Calculator'!$A:$A,D$24,'FTE Calculator'!$C:$C,"PropWatch",'FTE Calculator'!$F:$F,"phone"),SUMIFS('FTE Calculator'!$AO:$AO,'FTE Calculator'!$A:$A,D$24,'FTE Calculator'!$C:$C,"PropWatch",'FTE Calculator'!$F:$F,"phone"))</f>
        <v>0</v>
      </c>
      <c r="E35" s="27">
        <f>IF(E$24&lt;DATE(2026,3,1),SUMIFS('FTE Calculator'!$AL:$AL,'FTE Calculator'!$A:$A,E$24,'FTE Calculator'!$C:$C,"PropWatch",'FTE Calculator'!$F:$F,"phone"),SUMIFS('FTE Calculator'!$AO:$AO,'FTE Calculator'!$A:$A,E$24,'FTE Calculator'!$C:$C,"PropWatch",'FTE Calculator'!$F:$F,"phone"))</f>
        <v>0.01</v>
      </c>
      <c r="F35" s="27">
        <f>IF(F$24&lt;DATE(2026,3,1),SUMIFS('FTE Calculator'!$AL:$AL,'FTE Calculator'!$A:$A,F$24,'FTE Calculator'!$C:$C,"PropWatch",'FTE Calculator'!$F:$F,"phone"),SUMIFS('FTE Calculator'!$AO:$AO,'FTE Calculator'!$A:$A,F$24,'FTE Calculator'!$C:$C,"PropWatch",'FTE Calculator'!$F:$F,"phone"))</f>
        <v>0.02</v>
      </c>
      <c r="G35" s="27">
        <f>IF(G$24&lt;DATE(2026,3,1),SUMIFS('FTE Calculator'!$AL:$AL,'FTE Calculator'!$A:$A,G$24,'FTE Calculator'!$C:$C,"PropWatch",'FTE Calculator'!$F:$F,"phone"),SUMIFS('FTE Calculator'!$AO:$AO,'FTE Calculator'!$A:$A,G$24,'FTE Calculator'!$C:$C,"PropWatch",'FTE Calculator'!$F:$F,"phone"))</f>
        <v>0</v>
      </c>
      <c r="H35" s="27">
        <f>IF(H$24&lt;DATE(2026,3,1),SUMIFS('FTE Calculator'!$AL:$AL,'FTE Calculator'!$A:$A,H$24,'FTE Calculator'!$C:$C,"PropWatch",'FTE Calculator'!$F:$F,"phone"),SUMIFS('FTE Calculator'!$AO:$AO,'FTE Calculator'!$A:$A,H$24,'FTE Calculator'!$C:$C,"PropWatch",'FTE Calculator'!$F:$F,"phone"))</f>
        <v>0</v>
      </c>
      <c r="I35" s="27">
        <f>IF(I$24&lt;DATE(2026,3,1),SUMIFS('FTE Calculator'!$AL:$AL,'FTE Calculator'!$A:$A,I$24,'FTE Calculator'!$C:$C,"PropWatch",'FTE Calculator'!$F:$F,"phone"),SUMIFS('FTE Calculator'!$AO:$AO,'FTE Calculator'!$A:$A,I$24,'FTE Calculator'!$C:$C,"PropWatch",'FTE Calculator'!$F:$F,"phone"))</f>
        <v>0</v>
      </c>
      <c r="J35" s="27">
        <f>IF(J$24&lt;DATE(2026,3,1),SUMIFS('FTE Calculator'!$AL:$AL,'FTE Calculator'!$A:$A,J$24,'FTE Calculator'!$C:$C,"PropWatch",'FTE Calculator'!$F:$F,"phone"),SUMIFS('FTE Calculator'!$AO:$AO,'FTE Calculator'!$A:$A,J$24,'FTE Calculator'!$C:$C,"PropWatch",'FTE Calculator'!$F:$F,"phone"))</f>
        <v>0.01</v>
      </c>
      <c r="K35" s="27">
        <f>IF(K$24&lt;DATE(2026,3,1),SUMIFS('FTE Calculator'!$AL:$AL,'FTE Calculator'!$A:$A,K$24,'FTE Calculator'!$C:$C,"PropWatch",'FTE Calculator'!$F:$F,"phone"),SUMIFS('FTE Calculator'!$AO:$AO,'FTE Calculator'!$A:$A,K$24,'FTE Calculator'!$C:$C,"PropWatch",'FTE Calculator'!$F:$F,"phone"))</f>
        <v>0</v>
      </c>
      <c r="L35" s="27">
        <f>IF(L$24&lt;DATE(2026,3,1),SUMIFS('FTE Calculator'!$AL:$AL,'FTE Calculator'!$A:$A,L$24,'FTE Calculator'!$C:$C,"PropWatch",'FTE Calculator'!$F:$F,"phone"),SUMIFS('FTE Calculator'!$AO:$AO,'FTE Calculator'!$A:$A,L$24,'FTE Calculator'!$C:$C,"PropWatch",'FTE Calculator'!$F:$F,"phone"))</f>
        <v>0</v>
      </c>
      <c r="M35" s="27">
        <f>IF(M$24&lt;DATE(2026,3,1),SUMIFS('FTE Calculator'!$AL:$AL,'FTE Calculator'!$A:$A,M$24,'FTE Calculator'!$C:$C,"PropWatch",'FTE Calculator'!$F:$F,"phone"),SUMIFS('FTE Calculator'!$AO:$AO,'FTE Calculator'!$A:$A,M$24,'FTE Calculator'!$C:$C,"PropWatch",'FTE Calculator'!$F:$F,"phone"))</f>
        <v>0.01</v>
      </c>
      <c r="N35" s="27">
        <f>IF(N$24&lt;DATE(2026,3,1),SUMIFS('FTE Calculator'!$AL:$AL,'FTE Calculator'!$A:$A,N$24,'FTE Calculator'!$C:$C,"PropWatch",'FTE Calculator'!$F:$F,"phone"),SUMIFS('FTE Calculator'!$AO:$AO,'FTE Calculator'!$A:$A,N$24,'FTE Calculator'!$C:$C,"PropWatch",'FTE Calculator'!$F:$F,"phone"))</f>
        <v>0</v>
      </c>
      <c r="O35" s="28">
        <f t="shared" si="8"/>
        <v>5.0000000000000001E-3</v>
      </c>
      <c r="P35" s="27">
        <f>IF(P$24&lt;DATE(2026,3,1),SUMIFS('FTE Calculator'!$AL:$AL,'FTE Calculator'!$A:$A,P$24,'FTE Calculator'!$C:$C,"PropWatch",'FTE Calculator'!$F:$F,"phone"),SUMIFS('FTE Calculator'!$AO:$AO,'FTE Calculator'!$A:$A,P$24,'FTE Calculator'!$C:$C,"PropWatch",'FTE Calculator'!$F:$F,"phone"))</f>
        <v>0.01</v>
      </c>
      <c r="Q35" s="27">
        <f>IF(Q$24&lt;DATE(2026,3,1),SUMIFS('FTE Calculator'!$AL:$AL,'FTE Calculator'!$A:$A,Q$24,'FTE Calculator'!$C:$C,"PropWatch",'FTE Calculator'!$F:$F,"phone"),SUMIFS('FTE Calculator'!$AO:$AO,'FTE Calculator'!$A:$A,Q$24,'FTE Calculator'!$C:$C,"PropWatch",'FTE Calculator'!$F:$F,"phone"))</f>
        <v>0</v>
      </c>
      <c r="R35" s="27">
        <f>IF(R$24&lt;DATE(2026,3,1),SUMIFS('FTE Calculator'!$AL:$AL,'FTE Calculator'!$A:$A,R$24,'FTE Calculator'!$C:$C,"PropWatch",'FTE Calculator'!$F:$F,"phone"),SUMIFS('FTE Calculator'!$AO:$AO,'FTE Calculator'!$A:$A,R$24,'FTE Calculator'!$C:$C,"PropWatch",'FTE Calculator'!$F:$F,"phone"))</f>
        <v>0</v>
      </c>
      <c r="S35" s="27">
        <f>IF(S$24&lt;DATE(2026,3,1),SUMIFS('FTE Calculator'!$AL:$AL,'FTE Calculator'!$A:$A,S$24,'FTE Calculator'!$C:$C,"PropWatch",'FTE Calculator'!$F:$F,"phone"),SUMIFS('FTE Calculator'!$AO:$AO,'FTE Calculator'!$A:$A,S$24,'FTE Calculator'!$C:$C,"PropWatch",'FTE Calculator'!$F:$F,"phone"))</f>
        <v>0</v>
      </c>
      <c r="T35" s="27">
        <f>IF(T$24&lt;DATE(2026,3,1),SUMIFS('FTE Calculator'!$AL:$AL,'FTE Calculator'!$A:$A,T$24,'FTE Calculator'!$C:$C,"PropWatch",'FTE Calculator'!$F:$F,"phone"),SUMIFS('FTE Calculator'!$AO:$AO,'FTE Calculator'!$A:$A,T$24,'FTE Calculator'!$C:$C,"PropWatch",'FTE Calculator'!$F:$F,"phone"))</f>
        <v>0</v>
      </c>
      <c r="U35" s="27">
        <f>IF(U$24&lt;DATE(2026,3,1),SUMIFS('FTE Calculator'!$AL:$AL,'FTE Calculator'!$A:$A,U$24,'FTE Calculator'!$C:$C,"PropWatch",'FTE Calculator'!$F:$F,"phone"),SUMIFS('FTE Calculator'!$AO:$AO,'FTE Calculator'!$A:$A,U$24,'FTE Calculator'!$C:$C,"PropWatch",'FTE Calculator'!$F:$F,"phone"))</f>
        <v>0</v>
      </c>
      <c r="V35" s="27">
        <f>IF(V$24&lt;DATE(2026,3,1),SUMIFS('FTE Calculator'!$AL:$AL,'FTE Calculator'!$A:$A,V$24,'FTE Calculator'!$C:$C,"PropWatch",'FTE Calculator'!$F:$F,"phone"),SUMIFS('FTE Calculator'!$AO:$AO,'FTE Calculator'!$A:$A,V$24,'FTE Calculator'!$C:$C,"PropWatch",'FTE Calculator'!$F:$F,"phone"))</f>
        <v>0</v>
      </c>
      <c r="W35" s="27">
        <f>IF(W$24&lt;DATE(2026,3,1),SUMIFS('FTE Calculator'!$AL:$AL,'FTE Calculator'!$A:$A,W$24,'FTE Calculator'!$C:$C,"PropWatch",'FTE Calculator'!$F:$F,"phone"),SUMIFS('FTE Calculator'!$AO:$AO,'FTE Calculator'!$A:$A,W$24,'FTE Calculator'!$C:$C,"PropWatch",'FTE Calculator'!$F:$F,"phone"))</f>
        <v>0</v>
      </c>
      <c r="X35" s="27">
        <f>IF(X$24&lt;DATE(2026,3,1),SUMIFS('FTE Calculator'!$AL:$AL,'FTE Calculator'!$A:$A,X$24,'FTE Calculator'!$C:$C,"PropWatch",'FTE Calculator'!$F:$F,"phone"),SUMIFS('FTE Calculator'!$AO:$AO,'FTE Calculator'!$A:$A,X$24,'FTE Calculator'!$C:$C,"PropWatch",'FTE Calculator'!$F:$F,"phone"))</f>
        <v>0</v>
      </c>
      <c r="Y35" s="27">
        <f>IF(Y$24&lt;DATE(2026,3,1),SUMIFS('FTE Calculator'!$AL:$AL,'FTE Calculator'!$A:$A,Y$24,'FTE Calculator'!$C:$C,"PropWatch",'FTE Calculator'!$F:$F,"phone"),SUMIFS('FTE Calculator'!$AO:$AO,'FTE Calculator'!$A:$A,Y$24,'FTE Calculator'!$C:$C,"PropWatch",'FTE Calculator'!$F:$F,"phone"))</f>
        <v>0</v>
      </c>
      <c r="Z35" s="27">
        <f>IF(Z$24&lt;DATE(2026,3,1),SUMIFS('FTE Calculator'!$AL:$AL,'FTE Calculator'!$A:$A,Z$24,'FTE Calculator'!$C:$C,"PropWatch",'FTE Calculator'!$F:$F,"phone"),SUMIFS('FTE Calculator'!$AO:$AO,'FTE Calculator'!$A:$A,Z$24,'FTE Calculator'!$C:$C,"PropWatch",'FTE Calculator'!$F:$F,"phone"))</f>
        <v>0</v>
      </c>
      <c r="AA35" s="27">
        <f>IF(AA$24&lt;DATE(2026,3,1),SUMIFS('FTE Calculator'!$AL:$AL,'FTE Calculator'!$A:$A,AA$24,'FTE Calculator'!$C:$C,"PropWatch",'FTE Calculator'!$F:$F,"phone"),SUMIFS('FTE Calculator'!$AO:$AO,'FTE Calculator'!$A:$A,AA$24,'FTE Calculator'!$C:$C,"PropWatch",'FTE Calculator'!$F:$F,"phone"))</f>
        <v>0</v>
      </c>
      <c r="AB35" s="28">
        <f t="shared" si="9"/>
        <v>8.3333333333333339E-4</v>
      </c>
      <c r="AC35" s="27">
        <f>IF(AC$24&lt;DATE(2026,3,1),SUMIFS('FTE Calculator'!$AL:$AL,'FTE Calculator'!$A:$A,AC$24,'FTE Calculator'!$C:$C,"PropWatch",'FTE Calculator'!$F:$F,"phone"),SUMIFS('FTE Calculator'!$AO:$AO,'FTE Calculator'!$A:$A,AC$24,'FTE Calculator'!$C:$C,"PropWatch",'FTE Calculator'!$F:$F,"phone"))</f>
        <v>0</v>
      </c>
      <c r="AD35" s="27">
        <f>IF(AD$24&lt;DATE(2026,3,1),SUMIFS('FTE Calculator'!$AL:$AL,'FTE Calculator'!$A:$A,AD$24,'FTE Calculator'!$C:$C,"PropWatch",'FTE Calculator'!$F:$F,"phone"),SUMIFS('FTE Calculator'!$AO:$AO,'FTE Calculator'!$A:$A,AD$24,'FTE Calculator'!$C:$C,"PropWatch",'FTE Calculator'!$F:$F,"phone"))</f>
        <v>0</v>
      </c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</row>
    <row r="36" spans="1:700" x14ac:dyDescent="0.25">
      <c r="A36" s="17" t="s">
        <v>44</v>
      </c>
      <c r="B36" s="18" t="s">
        <v>92</v>
      </c>
      <c r="C36" s="20">
        <f>IF(C$24&lt;DATE(2026,3,1),SUMIFS('FTE Calculator'!$AL:$AL,'FTE Calculator'!$A:$A,C$24,'FTE Calculator'!$C:$C,"Trestle",'FTE Calculator'!$F:$F,"phone"),SUMIFS('FTE Calculator'!$AO:$AO,'FTE Calculator'!$A:$A,C$24,'FTE Calculator'!$C:$C,"Trestle",'FTE Calculator'!$F:$F,"phone"))</f>
        <v>0</v>
      </c>
      <c r="D36" s="20">
        <f>IF(D$24&lt;DATE(2026,3,1),SUMIFS('FTE Calculator'!$AL:$AL,'FTE Calculator'!$A:$A,D$24,'FTE Calculator'!$C:$C,"Trestle",'FTE Calculator'!$F:$F,"phone"),SUMIFS('FTE Calculator'!$AO:$AO,'FTE Calculator'!$A:$A,D$24,'FTE Calculator'!$C:$C,"Trestle",'FTE Calculator'!$F:$F,"phone"))</f>
        <v>0</v>
      </c>
      <c r="E36" s="20">
        <f>IF(E$24&lt;DATE(2026,3,1),SUMIFS('FTE Calculator'!$AL:$AL,'FTE Calculator'!$A:$A,E$24,'FTE Calculator'!$C:$C,"Trestle",'FTE Calculator'!$F:$F,"phone"),SUMIFS('FTE Calculator'!$AO:$AO,'FTE Calculator'!$A:$A,E$24,'FTE Calculator'!$C:$C,"Trestle",'FTE Calculator'!$F:$F,"phone"))</f>
        <v>0</v>
      </c>
      <c r="F36" s="20">
        <f>IF(F$24&lt;DATE(2026,3,1),SUMIFS('FTE Calculator'!$AL:$AL,'FTE Calculator'!$A:$A,F$24,'FTE Calculator'!$C:$C,"Trestle",'FTE Calculator'!$F:$F,"phone"),SUMIFS('FTE Calculator'!$AO:$AO,'FTE Calculator'!$A:$A,F$24,'FTE Calculator'!$C:$C,"Trestle",'FTE Calculator'!$F:$F,"phone"))</f>
        <v>0</v>
      </c>
      <c r="G36" s="20">
        <f>IF(G$24&lt;DATE(2026,3,1),SUMIFS('FTE Calculator'!$AL:$AL,'FTE Calculator'!$A:$A,G$24,'FTE Calculator'!$C:$C,"Trestle",'FTE Calculator'!$F:$F,"phone"),SUMIFS('FTE Calculator'!$AO:$AO,'FTE Calculator'!$A:$A,G$24,'FTE Calculator'!$C:$C,"Trestle",'FTE Calculator'!$F:$F,"phone"))</f>
        <v>0</v>
      </c>
      <c r="H36" s="20">
        <f>IF(H$24&lt;DATE(2026,3,1),SUMIFS('FTE Calculator'!$AL:$AL,'FTE Calculator'!$A:$A,H$24,'FTE Calculator'!$C:$C,"Trestle",'FTE Calculator'!$F:$F,"phone"),SUMIFS('FTE Calculator'!$AO:$AO,'FTE Calculator'!$A:$A,H$24,'FTE Calculator'!$C:$C,"Trestle",'FTE Calculator'!$F:$F,"phone"))</f>
        <v>0</v>
      </c>
      <c r="I36" s="20">
        <f>IF(I$24&lt;DATE(2026,3,1),SUMIFS('FTE Calculator'!$AL:$AL,'FTE Calculator'!$A:$A,I$24,'FTE Calculator'!$C:$C,"Trestle",'FTE Calculator'!$F:$F,"phone"),SUMIFS('FTE Calculator'!$AO:$AO,'FTE Calculator'!$A:$A,I$24,'FTE Calculator'!$C:$C,"Trestle",'FTE Calculator'!$F:$F,"phone"))</f>
        <v>0</v>
      </c>
      <c r="J36" s="20">
        <f>IF(J$24&lt;DATE(2026,3,1),SUMIFS('FTE Calculator'!$AL:$AL,'FTE Calculator'!$A:$A,J$24,'FTE Calculator'!$C:$C,"Trestle",'FTE Calculator'!$F:$F,"phone"),SUMIFS('FTE Calculator'!$AO:$AO,'FTE Calculator'!$A:$A,J$24,'FTE Calculator'!$C:$C,"Trestle",'FTE Calculator'!$F:$F,"phone"))</f>
        <v>0</v>
      </c>
      <c r="K36" s="20">
        <f>IF(K$24&lt;DATE(2026,3,1),SUMIFS('FTE Calculator'!$AL:$AL,'FTE Calculator'!$A:$A,K$24,'FTE Calculator'!$C:$C,"Trestle",'FTE Calculator'!$F:$F,"phone"),SUMIFS('FTE Calculator'!$AO:$AO,'FTE Calculator'!$A:$A,K$24,'FTE Calculator'!$C:$C,"Trestle",'FTE Calculator'!$F:$F,"phone"))</f>
        <v>0</v>
      </c>
      <c r="L36" s="20">
        <f>IF(L$24&lt;DATE(2026,3,1),SUMIFS('FTE Calculator'!$AL:$AL,'FTE Calculator'!$A:$A,L$24,'FTE Calculator'!$C:$C,"Trestle",'FTE Calculator'!$F:$F,"phone"),SUMIFS('FTE Calculator'!$AO:$AO,'FTE Calculator'!$A:$A,L$24,'FTE Calculator'!$C:$C,"Trestle",'FTE Calculator'!$F:$F,"phone"))</f>
        <v>0</v>
      </c>
      <c r="M36" s="20">
        <f>IF(M$24&lt;DATE(2026,3,1),SUMIFS('FTE Calculator'!$AL:$AL,'FTE Calculator'!$A:$A,M$24,'FTE Calculator'!$C:$C,"Trestle",'FTE Calculator'!$F:$F,"phone"),SUMIFS('FTE Calculator'!$AO:$AO,'FTE Calculator'!$A:$A,M$24,'FTE Calculator'!$C:$C,"Trestle",'FTE Calculator'!$F:$F,"phone"))</f>
        <v>0</v>
      </c>
      <c r="N36" s="20">
        <f>IF(N$24&lt;DATE(2026,3,1),SUMIFS('FTE Calculator'!$AL:$AL,'FTE Calculator'!$A:$A,N$24,'FTE Calculator'!$C:$C,"Trestle",'FTE Calculator'!$F:$F,"phone"),SUMIFS('FTE Calculator'!$AO:$AO,'FTE Calculator'!$A:$A,N$24,'FTE Calculator'!$C:$C,"Trestle",'FTE Calculator'!$F:$F,"phone"))</f>
        <v>0</v>
      </c>
      <c r="O36" s="28">
        <f t="shared" si="8"/>
        <v>0</v>
      </c>
      <c r="P36" s="20">
        <f>IF(P$24&lt;DATE(2026,3,1),SUMIFS('FTE Calculator'!$AL:$AL,'FTE Calculator'!$A:$A,P$24,'FTE Calculator'!$C:$C,"Trestle",'FTE Calculator'!$F:$F,"phone"),SUMIFS('FTE Calculator'!$AO:$AO,'FTE Calculator'!$A:$A,P$24,'FTE Calculator'!$C:$C,"Trestle",'FTE Calculator'!$F:$F,"phone"))</f>
        <v>0</v>
      </c>
      <c r="Q36" s="20">
        <f>IF(Q$24&lt;DATE(2026,3,1),SUMIFS('FTE Calculator'!$AL:$AL,'FTE Calculator'!$A:$A,Q$24,'FTE Calculator'!$C:$C,"Trestle",'FTE Calculator'!$F:$F,"phone"),SUMIFS('FTE Calculator'!$AO:$AO,'FTE Calculator'!$A:$A,Q$24,'FTE Calculator'!$C:$C,"Trestle",'FTE Calculator'!$F:$F,"phone"))</f>
        <v>0</v>
      </c>
      <c r="R36" s="20">
        <f>IF(R$24&lt;DATE(2026,3,1),SUMIFS('FTE Calculator'!$AL:$AL,'FTE Calculator'!$A:$A,R$24,'FTE Calculator'!$C:$C,"Trestle",'FTE Calculator'!$F:$F,"phone"),SUMIFS('FTE Calculator'!$AO:$AO,'FTE Calculator'!$A:$A,R$24,'FTE Calculator'!$C:$C,"Trestle",'FTE Calculator'!$F:$F,"phone"))</f>
        <v>0</v>
      </c>
      <c r="S36" s="20">
        <f>IF(S$24&lt;DATE(2026,3,1),SUMIFS('FTE Calculator'!$AL:$AL,'FTE Calculator'!$A:$A,S$24,'FTE Calculator'!$C:$C,"Trestle",'FTE Calculator'!$F:$F,"phone"),SUMIFS('FTE Calculator'!$AO:$AO,'FTE Calculator'!$A:$A,S$24,'FTE Calculator'!$C:$C,"Trestle",'FTE Calculator'!$F:$F,"phone"))</f>
        <v>0</v>
      </c>
      <c r="T36" s="20">
        <f>IF(T$24&lt;DATE(2026,3,1),SUMIFS('FTE Calculator'!$AL:$AL,'FTE Calculator'!$A:$A,T$24,'FTE Calculator'!$C:$C,"Trestle",'FTE Calculator'!$F:$F,"phone"),SUMIFS('FTE Calculator'!$AO:$AO,'FTE Calculator'!$A:$A,T$24,'FTE Calculator'!$C:$C,"Trestle",'FTE Calculator'!$F:$F,"phone"))</f>
        <v>0</v>
      </c>
      <c r="U36" s="20">
        <f>IF(U$24&lt;DATE(2026,3,1),SUMIFS('FTE Calculator'!$AL:$AL,'FTE Calculator'!$A:$A,U$24,'FTE Calculator'!$C:$C,"Trestle",'FTE Calculator'!$F:$F,"phone"),SUMIFS('FTE Calculator'!$AO:$AO,'FTE Calculator'!$A:$A,U$24,'FTE Calculator'!$C:$C,"Trestle",'FTE Calculator'!$F:$F,"phone"))</f>
        <v>0</v>
      </c>
      <c r="V36" s="20">
        <f>IF(V$24&lt;DATE(2026,3,1),SUMIFS('FTE Calculator'!$AL:$AL,'FTE Calculator'!$A:$A,V$24,'FTE Calculator'!$C:$C,"Trestle",'FTE Calculator'!$F:$F,"phone"),SUMIFS('FTE Calculator'!$AO:$AO,'FTE Calculator'!$A:$A,V$24,'FTE Calculator'!$C:$C,"Trestle",'FTE Calculator'!$F:$F,"phone"))</f>
        <v>0</v>
      </c>
      <c r="W36" s="20">
        <f>IF(W$24&lt;DATE(2026,3,1),SUMIFS('FTE Calculator'!$AL:$AL,'FTE Calculator'!$A:$A,W$24,'FTE Calculator'!$C:$C,"Trestle",'FTE Calculator'!$F:$F,"phone"),SUMIFS('FTE Calculator'!$AO:$AO,'FTE Calculator'!$A:$A,W$24,'FTE Calculator'!$C:$C,"Trestle",'FTE Calculator'!$F:$F,"phone"))</f>
        <v>0</v>
      </c>
      <c r="X36" s="20">
        <f>IF(X$24&lt;DATE(2026,3,1),SUMIFS('FTE Calculator'!$AL:$AL,'FTE Calculator'!$A:$A,X$24,'FTE Calculator'!$C:$C,"Trestle",'FTE Calculator'!$F:$F,"phone"),SUMIFS('FTE Calculator'!$AO:$AO,'FTE Calculator'!$A:$A,X$24,'FTE Calculator'!$C:$C,"Trestle",'FTE Calculator'!$F:$F,"phone"))</f>
        <v>0</v>
      </c>
      <c r="Y36" s="20">
        <f>IF(Y$24&lt;DATE(2026,3,1),SUMIFS('FTE Calculator'!$AL:$AL,'FTE Calculator'!$A:$A,Y$24,'FTE Calculator'!$C:$C,"Trestle",'FTE Calculator'!$F:$F,"phone"),SUMIFS('FTE Calculator'!$AO:$AO,'FTE Calculator'!$A:$A,Y$24,'FTE Calculator'!$C:$C,"Trestle",'FTE Calculator'!$F:$F,"phone"))</f>
        <v>0</v>
      </c>
      <c r="Z36" s="20">
        <f>IF(Z$24&lt;DATE(2026,3,1),SUMIFS('FTE Calculator'!$AL:$AL,'FTE Calculator'!$A:$A,Z$24,'FTE Calculator'!$C:$C,"Trestle",'FTE Calculator'!$F:$F,"phone"),SUMIFS('FTE Calculator'!$AO:$AO,'FTE Calculator'!$A:$A,Z$24,'FTE Calculator'!$C:$C,"Trestle",'FTE Calculator'!$F:$F,"phone"))</f>
        <v>0</v>
      </c>
      <c r="AA36" s="20">
        <f>IF(AA$24&lt;DATE(2026,3,1),SUMIFS('FTE Calculator'!$AL:$AL,'FTE Calculator'!$A:$A,AA$24,'FTE Calculator'!$C:$C,"Trestle",'FTE Calculator'!$F:$F,"phone"),SUMIFS('FTE Calculator'!$AO:$AO,'FTE Calculator'!$A:$A,AA$24,'FTE Calculator'!$C:$C,"Trestle",'FTE Calculator'!$F:$F,"phone"))</f>
        <v>0</v>
      </c>
      <c r="AB36" s="28">
        <f t="shared" si="9"/>
        <v>0</v>
      </c>
      <c r="AC36" s="20">
        <f>IF(AC$24&lt;DATE(2026,3,1),SUMIFS('FTE Calculator'!$AL:$AL,'FTE Calculator'!$A:$A,AC$24,'FTE Calculator'!$C:$C,"Trestle",'FTE Calculator'!$F:$F,"phone"),SUMIFS('FTE Calculator'!$AO:$AO,'FTE Calculator'!$A:$A,AC$24,'FTE Calculator'!$C:$C,"Trestle",'FTE Calculator'!$F:$F,"phone"))</f>
        <v>0</v>
      </c>
      <c r="AD36" s="20">
        <f>IF(AD$24&lt;DATE(2026,3,1),SUMIFS('FTE Calculator'!$AL:$AL,'FTE Calculator'!$A:$A,AD$24,'FTE Calculator'!$C:$C,"Trestle",'FTE Calculator'!$F:$F,"phone"),SUMIFS('FTE Calculator'!$AO:$AO,'FTE Calculator'!$A:$A,AD$24,'FTE Calculator'!$C:$C,"Trestle",'FTE Calculator'!$F:$F,"phone"))</f>
        <v>0</v>
      </c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</row>
    <row r="37" spans="1:700" x14ac:dyDescent="0.25">
      <c r="A37" s="23" t="s">
        <v>96</v>
      </c>
      <c r="B37" s="24" t="s">
        <v>89</v>
      </c>
      <c r="C37" s="27">
        <f t="shared" ref="C37:N37" si="10">SUM(C25:C36)</f>
        <v>10.36</v>
      </c>
      <c r="D37" s="27">
        <f t="shared" si="10"/>
        <v>8.02</v>
      </c>
      <c r="E37" s="27">
        <f t="shared" si="10"/>
        <v>6.8199999999999994</v>
      </c>
      <c r="F37" s="27">
        <f t="shared" si="10"/>
        <v>5.97</v>
      </c>
      <c r="G37" s="27">
        <f t="shared" si="10"/>
        <v>7.38</v>
      </c>
      <c r="H37" s="27">
        <f t="shared" si="10"/>
        <v>7.16</v>
      </c>
      <c r="I37" s="27">
        <f t="shared" si="10"/>
        <v>8.5500000000000007</v>
      </c>
      <c r="J37" s="27">
        <f t="shared" si="10"/>
        <v>6.9399999999999995</v>
      </c>
      <c r="K37" s="27">
        <f t="shared" si="10"/>
        <v>6.85</v>
      </c>
      <c r="L37" s="27">
        <f t="shared" si="10"/>
        <v>5.74</v>
      </c>
      <c r="M37" s="27">
        <f t="shared" si="10"/>
        <v>4.67</v>
      </c>
      <c r="N37" s="27">
        <f t="shared" si="10"/>
        <v>3.91</v>
      </c>
      <c r="O37" s="28">
        <f t="shared" si="8"/>
        <v>6.864166666666665</v>
      </c>
      <c r="P37" s="27">
        <f t="shared" ref="P37:AA37" si="11">SUM(P25:P36)</f>
        <v>5.5399999999999991</v>
      </c>
      <c r="Q37" s="27">
        <f t="shared" si="11"/>
        <v>4.47</v>
      </c>
      <c r="R37" s="27">
        <f t="shared" si="11"/>
        <v>4.38</v>
      </c>
      <c r="S37" s="27">
        <f t="shared" si="11"/>
        <v>4.7499999999999991</v>
      </c>
      <c r="T37" s="27">
        <f t="shared" si="11"/>
        <v>5.5</v>
      </c>
      <c r="U37" s="27">
        <f t="shared" si="11"/>
        <v>5.42</v>
      </c>
      <c r="V37" s="27">
        <f t="shared" si="11"/>
        <v>5.3</v>
      </c>
      <c r="W37" s="27">
        <f t="shared" si="11"/>
        <v>5.34</v>
      </c>
      <c r="X37" s="27">
        <f t="shared" si="11"/>
        <v>5.4700000000000006</v>
      </c>
      <c r="Y37" s="27">
        <f t="shared" si="11"/>
        <v>5.3199999999999994</v>
      </c>
      <c r="Z37" s="27">
        <f t="shared" si="11"/>
        <v>5.2799999999999994</v>
      </c>
      <c r="AA37" s="27">
        <f t="shared" si="11"/>
        <v>5.4799999999999995</v>
      </c>
      <c r="AB37" s="28">
        <f t="shared" si="9"/>
        <v>5.1874999999999991</v>
      </c>
      <c r="AC37" s="27">
        <f>SUM(AC25:AC36)</f>
        <v>5.31</v>
      </c>
      <c r="AD37" s="27">
        <f>SUM(AD25:AD36)</f>
        <v>5.2799999999999994</v>
      </c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</row>
    <row r="38" spans="1:700" x14ac:dyDescent="0.25">
      <c r="A38" s="23"/>
      <c r="B38" s="24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8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8"/>
      <c r="AC38" s="27"/>
      <c r="AD38" s="27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</row>
    <row r="39" spans="1:700" x14ac:dyDescent="0.25">
      <c r="A39" s="16" t="s">
        <v>94</v>
      </c>
      <c r="B39" s="16" t="s">
        <v>90</v>
      </c>
      <c r="C39" s="16">
        <v>45658</v>
      </c>
      <c r="D39" s="16">
        <v>45689</v>
      </c>
      <c r="E39" s="16">
        <v>45717</v>
      </c>
      <c r="F39" s="16">
        <v>45748</v>
      </c>
      <c r="G39" s="16">
        <v>45778</v>
      </c>
      <c r="H39" s="16">
        <v>45809</v>
      </c>
      <c r="I39" s="16">
        <v>45839</v>
      </c>
      <c r="J39" s="16">
        <v>45870</v>
      </c>
      <c r="K39" s="16">
        <v>45901</v>
      </c>
      <c r="L39" s="16">
        <v>45931</v>
      </c>
      <c r="M39" s="16">
        <v>45962</v>
      </c>
      <c r="N39" s="16">
        <v>45992</v>
      </c>
      <c r="O39" s="34" t="s">
        <v>137</v>
      </c>
      <c r="P39" s="16">
        <v>46023</v>
      </c>
      <c r="Q39" s="16">
        <v>46054</v>
      </c>
      <c r="R39" s="16">
        <v>46082</v>
      </c>
      <c r="S39" s="16">
        <v>46113</v>
      </c>
      <c r="T39" s="16">
        <v>46143</v>
      </c>
      <c r="U39" s="16">
        <v>46174</v>
      </c>
      <c r="V39" s="16">
        <v>46204</v>
      </c>
      <c r="W39" s="16">
        <v>46235</v>
      </c>
      <c r="X39" s="16">
        <v>46266</v>
      </c>
      <c r="Y39" s="16">
        <v>46296</v>
      </c>
      <c r="Z39" s="16">
        <v>46327</v>
      </c>
      <c r="AA39" s="16">
        <v>46357</v>
      </c>
      <c r="AB39" s="34" t="s">
        <v>138</v>
      </c>
      <c r="AC39" s="16">
        <v>46388</v>
      </c>
      <c r="AD39" s="16">
        <v>46419</v>
      </c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</row>
    <row r="40" spans="1:700" x14ac:dyDescent="0.25">
      <c r="A40" s="17" t="s">
        <v>89</v>
      </c>
      <c r="B40" s="18" t="s">
        <v>91</v>
      </c>
      <c r="C40" s="20">
        <f>IF(C$39&lt;DATE(2026,3,1),SUMIFS('FTE Calculator'!$AM:$AM,'FTE Calculator'!$A:$A,C$39,'FTE Calculator'!$F:$F,"email") + SUMIFS('FTE Calculator'!$AM:$AM,'FTE Calculator'!$A:$A,C$39,'FTE Calculator'!$F:$F,"web"),SUMIFS('FTE Calculator'!$AP:$AP,'FTE Calculator'!$A:$A,C$39,'FTE Calculator'!$F:$F,"email") + SUMIFS('FTE Calculator'!$AP:$AP,'FTE Calculator'!$A:$A,C$39,'FTE Calculator'!$F:$F,"web"))</f>
        <v>0</v>
      </c>
      <c r="D40" s="20">
        <f>IF(D$39&lt;DATE(2026,3,1),SUMIFS('FTE Calculator'!$AM:$AM,'FTE Calculator'!$A:$A,D$39,'FTE Calculator'!$F:$F,"email") + SUMIFS('FTE Calculator'!$AM:$AM,'FTE Calculator'!$A:$A,D$39,'FTE Calculator'!$F:$F,"web"),SUMIFS('FTE Calculator'!$AP:$AP,'FTE Calculator'!$A:$A,D$39,'FTE Calculator'!$F:$F,"email") + SUMIFS('FTE Calculator'!$AP:$AP,'FTE Calculator'!$A:$A,D$39,'FTE Calculator'!$F:$F,"web"))</f>
        <v>0</v>
      </c>
      <c r="E40" s="20">
        <f>IF(E$39&lt;DATE(2026,3,1),SUMIFS('FTE Calculator'!$AM:$AM,'FTE Calculator'!$A:$A,E$39,'FTE Calculator'!$F:$F,"email") + SUMIFS('FTE Calculator'!$AM:$AM,'FTE Calculator'!$A:$A,E$39,'FTE Calculator'!$F:$F,"web"),SUMIFS('FTE Calculator'!$AP:$AP,'FTE Calculator'!$A:$A,E$39,'FTE Calculator'!$F:$F,"email") + SUMIFS('FTE Calculator'!$AP:$AP,'FTE Calculator'!$A:$A,E$39,'FTE Calculator'!$F:$F,"web"))</f>
        <v>0</v>
      </c>
      <c r="F40" s="20">
        <f>IF(F$39&lt;DATE(2026,3,1),SUMIFS('FTE Calculator'!$AM:$AM,'FTE Calculator'!$A:$A,F$39,'FTE Calculator'!$F:$F,"email") + SUMIFS('FTE Calculator'!$AM:$AM,'FTE Calculator'!$A:$A,F$39,'FTE Calculator'!$F:$F,"web"),SUMIFS('FTE Calculator'!$AP:$AP,'FTE Calculator'!$A:$A,F$39,'FTE Calculator'!$F:$F,"email") + SUMIFS('FTE Calculator'!$AP:$AP,'FTE Calculator'!$A:$A,F$39,'FTE Calculator'!$F:$F,"web"))</f>
        <v>0</v>
      </c>
      <c r="G40" s="20">
        <f>IF(G$39&lt;DATE(2026,3,1),SUMIFS('FTE Calculator'!$AM:$AM,'FTE Calculator'!$A:$A,G$39,'FTE Calculator'!$F:$F,"email") + SUMIFS('FTE Calculator'!$AM:$AM,'FTE Calculator'!$A:$A,G$39,'FTE Calculator'!$F:$F,"web"),SUMIFS('FTE Calculator'!$AP:$AP,'FTE Calculator'!$A:$A,G$39,'FTE Calculator'!$F:$F,"email") + SUMIFS('FTE Calculator'!$AP:$AP,'FTE Calculator'!$A:$A,G$39,'FTE Calculator'!$F:$F,"web"))</f>
        <v>0</v>
      </c>
      <c r="H40" s="20">
        <f>IF(H$39&lt;DATE(2026,3,1),SUMIFS('FTE Calculator'!$AM:$AM,'FTE Calculator'!$A:$A,H$39,'FTE Calculator'!$F:$F,"email") + SUMIFS('FTE Calculator'!$AM:$AM,'FTE Calculator'!$A:$A,H$39,'FTE Calculator'!$F:$F,"web"),SUMIFS('FTE Calculator'!$AP:$AP,'FTE Calculator'!$A:$A,H$39,'FTE Calculator'!$F:$F,"email") + SUMIFS('FTE Calculator'!$AP:$AP,'FTE Calculator'!$A:$A,H$39,'FTE Calculator'!$F:$F,"web"))</f>
        <v>0</v>
      </c>
      <c r="I40" s="20">
        <f>IF(I$39&lt;DATE(2026,3,1),SUMIFS('FTE Calculator'!$AM:$AM,'FTE Calculator'!$A:$A,I$39,'FTE Calculator'!$F:$F,"email") + SUMIFS('FTE Calculator'!$AM:$AM,'FTE Calculator'!$A:$A,I$39,'FTE Calculator'!$F:$F,"web"),SUMIFS('FTE Calculator'!$AP:$AP,'FTE Calculator'!$A:$A,I$39,'FTE Calculator'!$F:$F,"email") + SUMIFS('FTE Calculator'!$AP:$AP,'FTE Calculator'!$A:$A,I$39,'FTE Calculator'!$F:$F,"web"))</f>
        <v>0</v>
      </c>
      <c r="J40" s="20">
        <f>IF(J$39&lt;DATE(2026,3,1),SUMIFS('FTE Calculator'!$AM:$AM,'FTE Calculator'!$A:$A,J$39,'FTE Calculator'!$F:$F,"email") + SUMIFS('FTE Calculator'!$AM:$AM,'FTE Calculator'!$A:$A,J$39,'FTE Calculator'!$F:$F,"web"),SUMIFS('FTE Calculator'!$AP:$AP,'FTE Calculator'!$A:$A,J$39,'FTE Calculator'!$F:$F,"email") + SUMIFS('FTE Calculator'!$AP:$AP,'FTE Calculator'!$A:$A,J$39,'FTE Calculator'!$F:$F,"web"))</f>
        <v>0</v>
      </c>
      <c r="K40" s="20">
        <f>IF(K$39&lt;DATE(2026,3,1),SUMIFS('FTE Calculator'!$AM:$AM,'FTE Calculator'!$A:$A,K$39,'FTE Calculator'!$F:$F,"email") + SUMIFS('FTE Calculator'!$AM:$AM,'FTE Calculator'!$A:$A,K$39,'FTE Calculator'!$F:$F,"web"),SUMIFS('FTE Calculator'!$AP:$AP,'FTE Calculator'!$A:$A,K$39,'FTE Calculator'!$F:$F,"email") + SUMIFS('FTE Calculator'!$AP:$AP,'FTE Calculator'!$A:$A,K$39,'FTE Calculator'!$F:$F,"web"))</f>
        <v>0</v>
      </c>
      <c r="L40" s="20">
        <f>IF(L$39&lt;DATE(2026,3,1),SUMIFS('FTE Calculator'!$AM:$AM,'FTE Calculator'!$A:$A,L$39,'FTE Calculator'!$F:$F,"email") + SUMIFS('FTE Calculator'!$AM:$AM,'FTE Calculator'!$A:$A,L$39,'FTE Calculator'!$F:$F,"web"),SUMIFS('FTE Calculator'!$AP:$AP,'FTE Calculator'!$A:$A,L$39,'FTE Calculator'!$F:$F,"email") + SUMIFS('FTE Calculator'!$AP:$AP,'FTE Calculator'!$A:$A,L$39,'FTE Calculator'!$F:$F,"web"))</f>
        <v>0</v>
      </c>
      <c r="M40" s="20">
        <f>IF(M$39&lt;DATE(2026,3,1),SUMIFS('FTE Calculator'!$AM:$AM,'FTE Calculator'!$A:$A,M$39,'FTE Calculator'!$F:$F,"email") + SUMIFS('FTE Calculator'!$AM:$AM,'FTE Calculator'!$A:$A,M$39,'FTE Calculator'!$F:$F,"web"),SUMIFS('FTE Calculator'!$AP:$AP,'FTE Calculator'!$A:$A,M$39,'FTE Calculator'!$F:$F,"email") + SUMIFS('FTE Calculator'!$AP:$AP,'FTE Calculator'!$A:$A,M$39,'FTE Calculator'!$F:$F,"web"))</f>
        <v>0</v>
      </c>
      <c r="N40" s="20">
        <f>IF(N$39&lt;DATE(2026,3,1),SUMIFS('FTE Calculator'!$AM:$AM,'FTE Calculator'!$A:$A,N$39,'FTE Calculator'!$F:$F,"email") + SUMIFS('FTE Calculator'!$AM:$AM,'FTE Calculator'!$A:$A,N$39,'FTE Calculator'!$F:$F,"web"),SUMIFS('FTE Calculator'!$AP:$AP,'FTE Calculator'!$A:$A,N$39,'FTE Calculator'!$F:$F,"email") + SUMIFS('FTE Calculator'!$AP:$AP,'FTE Calculator'!$A:$A,N$39,'FTE Calculator'!$F:$F,"web"))</f>
        <v>0</v>
      </c>
      <c r="O40" s="28">
        <f t="shared" ref="O40:O52" si="12">AVERAGE(C40:N40)</f>
        <v>0</v>
      </c>
      <c r="P40" s="20">
        <f>IF(P$39&lt;DATE(2026,3,1),SUMIFS('FTE Calculator'!$AM:$AM,'FTE Calculator'!$A:$A,P$39,'FTE Calculator'!$F:$F,"email") + SUMIFS('FTE Calculator'!$AM:$AM,'FTE Calculator'!$A:$A,P$39,'FTE Calculator'!$F:$F,"web"),SUMIFS('FTE Calculator'!$AP:$AP,'FTE Calculator'!$A:$A,P$39,'FTE Calculator'!$F:$F,"email") + SUMIFS('FTE Calculator'!$AP:$AP,'FTE Calculator'!$A:$A,P$39,'FTE Calculator'!$F:$F,"web"))</f>
        <v>0</v>
      </c>
      <c r="Q40" s="20">
        <f>IF(Q$39&lt;DATE(2026,3,1),SUMIFS('FTE Calculator'!$AM:$AM,'FTE Calculator'!$A:$A,Q$39,'FTE Calculator'!$F:$F,"email") + SUMIFS('FTE Calculator'!$AM:$AM,'FTE Calculator'!$A:$A,Q$39,'FTE Calculator'!$F:$F,"web"),SUMIFS('FTE Calculator'!$AP:$AP,'FTE Calculator'!$A:$A,Q$39,'FTE Calculator'!$F:$F,"email") + SUMIFS('FTE Calculator'!$AP:$AP,'FTE Calculator'!$A:$A,Q$39,'FTE Calculator'!$F:$F,"web"))</f>
        <v>0</v>
      </c>
      <c r="R40" s="20">
        <f>IF(R$39&lt;DATE(2026,3,1),SUMIFS('FTE Calculator'!$AM:$AM,'FTE Calculator'!$A:$A,R$39,'FTE Calculator'!$F:$F,"email") + SUMIFS('FTE Calculator'!$AM:$AM,'FTE Calculator'!$A:$A,R$39,'FTE Calculator'!$F:$F,"web"),SUMIFS('FTE Calculator'!$AP:$AP,'FTE Calculator'!$A:$A,R$39,'FTE Calculator'!$F:$F,"email") + SUMIFS('FTE Calculator'!$AP:$AP,'FTE Calculator'!$A:$A,R$39,'FTE Calculator'!$F:$F,"web"))</f>
        <v>0</v>
      </c>
      <c r="S40" s="20">
        <f>IF(S$39&lt;DATE(2026,3,1),SUMIFS('FTE Calculator'!$AM:$AM,'FTE Calculator'!$A:$A,S$39,'FTE Calculator'!$F:$F,"email") + SUMIFS('FTE Calculator'!$AM:$AM,'FTE Calculator'!$A:$A,S$39,'FTE Calculator'!$F:$F,"web"),SUMIFS('FTE Calculator'!$AP:$AP,'FTE Calculator'!$A:$A,S$39,'FTE Calculator'!$F:$F,"email") + SUMIFS('FTE Calculator'!$AP:$AP,'FTE Calculator'!$A:$A,S$39,'FTE Calculator'!$F:$F,"web"))</f>
        <v>0</v>
      </c>
      <c r="T40" s="20">
        <f>IF(T$39&lt;DATE(2026,3,1),SUMIFS('FTE Calculator'!$AM:$AM,'FTE Calculator'!$A:$A,T$39,'FTE Calculator'!$F:$F,"email") + SUMIFS('FTE Calculator'!$AM:$AM,'FTE Calculator'!$A:$A,T$39,'FTE Calculator'!$F:$F,"web"),SUMIFS('FTE Calculator'!$AP:$AP,'FTE Calculator'!$A:$A,T$39,'FTE Calculator'!$F:$F,"email") + SUMIFS('FTE Calculator'!$AP:$AP,'FTE Calculator'!$A:$A,T$39,'FTE Calculator'!$F:$F,"web"))</f>
        <v>0</v>
      </c>
      <c r="U40" s="20">
        <f>IF(U$39&lt;DATE(2026,3,1),SUMIFS('FTE Calculator'!$AM:$AM,'FTE Calculator'!$A:$A,U$39,'FTE Calculator'!$F:$F,"email") + SUMIFS('FTE Calculator'!$AM:$AM,'FTE Calculator'!$A:$A,U$39,'FTE Calculator'!$F:$F,"web"),SUMIFS('FTE Calculator'!$AP:$AP,'FTE Calculator'!$A:$A,U$39,'FTE Calculator'!$F:$F,"email") + SUMIFS('FTE Calculator'!$AP:$AP,'FTE Calculator'!$A:$A,U$39,'FTE Calculator'!$F:$F,"web"))</f>
        <v>0</v>
      </c>
      <c r="V40" s="20">
        <f>IF(V$39&lt;DATE(2026,3,1),SUMIFS('FTE Calculator'!$AM:$AM,'FTE Calculator'!$A:$A,V$39,'FTE Calculator'!$F:$F,"email") + SUMIFS('FTE Calculator'!$AM:$AM,'FTE Calculator'!$A:$A,V$39,'FTE Calculator'!$F:$F,"web"),SUMIFS('FTE Calculator'!$AP:$AP,'FTE Calculator'!$A:$A,V$39,'FTE Calculator'!$F:$F,"email") + SUMIFS('FTE Calculator'!$AP:$AP,'FTE Calculator'!$A:$A,V$39,'FTE Calculator'!$F:$F,"web"))</f>
        <v>0</v>
      </c>
      <c r="W40" s="20">
        <f>IF(W$39&lt;DATE(2026,3,1),SUMIFS('FTE Calculator'!$AM:$AM,'FTE Calculator'!$A:$A,W$39,'FTE Calculator'!$F:$F,"email") + SUMIFS('FTE Calculator'!$AM:$AM,'FTE Calculator'!$A:$A,W$39,'FTE Calculator'!$F:$F,"web"),SUMIFS('FTE Calculator'!$AP:$AP,'FTE Calculator'!$A:$A,W$39,'FTE Calculator'!$F:$F,"email") + SUMIFS('FTE Calculator'!$AP:$AP,'FTE Calculator'!$A:$A,W$39,'FTE Calculator'!$F:$F,"web"))</f>
        <v>0</v>
      </c>
      <c r="X40" s="20">
        <f>IF(X$39&lt;DATE(2026,3,1),SUMIFS('FTE Calculator'!$AM:$AM,'FTE Calculator'!$A:$A,X$39,'FTE Calculator'!$F:$F,"email") + SUMIFS('FTE Calculator'!$AM:$AM,'FTE Calculator'!$A:$A,X$39,'FTE Calculator'!$F:$F,"web"),SUMIFS('FTE Calculator'!$AP:$AP,'FTE Calculator'!$A:$A,X$39,'FTE Calculator'!$F:$F,"email") + SUMIFS('FTE Calculator'!$AP:$AP,'FTE Calculator'!$A:$A,X$39,'FTE Calculator'!$F:$F,"web"))</f>
        <v>0</v>
      </c>
      <c r="Y40" s="20">
        <f>IF(Y$39&lt;DATE(2026,3,1),SUMIFS('FTE Calculator'!$AM:$AM,'FTE Calculator'!$A:$A,Y$39,'FTE Calculator'!$F:$F,"email") + SUMIFS('FTE Calculator'!$AM:$AM,'FTE Calculator'!$A:$A,Y$39,'FTE Calculator'!$F:$F,"web"),SUMIFS('FTE Calculator'!$AP:$AP,'FTE Calculator'!$A:$A,Y$39,'FTE Calculator'!$F:$F,"email") + SUMIFS('FTE Calculator'!$AP:$AP,'FTE Calculator'!$A:$A,Y$39,'FTE Calculator'!$F:$F,"web"))</f>
        <v>0</v>
      </c>
      <c r="Z40" s="20">
        <f>IF(Z$39&lt;DATE(2026,3,1),SUMIFS('FTE Calculator'!$AM:$AM,'FTE Calculator'!$A:$A,Z$39,'FTE Calculator'!$F:$F,"email") + SUMIFS('FTE Calculator'!$AM:$AM,'FTE Calculator'!$A:$A,Z$39,'FTE Calculator'!$F:$F,"web"),SUMIFS('FTE Calculator'!$AP:$AP,'FTE Calculator'!$A:$A,Z$39,'FTE Calculator'!$F:$F,"email") + SUMIFS('FTE Calculator'!$AP:$AP,'FTE Calculator'!$A:$A,Z$39,'FTE Calculator'!$F:$F,"web"))</f>
        <v>0</v>
      </c>
      <c r="AA40" s="20">
        <f>IF(AA$39&lt;DATE(2026,3,1),SUMIFS('FTE Calculator'!$AM:$AM,'FTE Calculator'!$A:$A,AA$39,'FTE Calculator'!$F:$F,"email") + SUMIFS('FTE Calculator'!$AM:$AM,'FTE Calculator'!$A:$A,AA$39,'FTE Calculator'!$F:$F,"web"),SUMIFS('FTE Calculator'!$AP:$AP,'FTE Calculator'!$A:$A,AA$39,'FTE Calculator'!$F:$F,"email") + SUMIFS('FTE Calculator'!$AP:$AP,'FTE Calculator'!$A:$A,AA$39,'FTE Calculator'!$F:$F,"web"))</f>
        <v>0</v>
      </c>
      <c r="AB40" s="28">
        <f t="shared" ref="AB40:AB52" si="13">AVERAGE(P40:AA40)</f>
        <v>0</v>
      </c>
      <c r="AC40" s="20">
        <f>IF(AC$39&lt;DATE(2026,3,1),SUMIFS('FTE Calculator'!$AM:$AM,'FTE Calculator'!$A:$A,AC$39,'FTE Calculator'!$F:$F,"email") + SUMIFS('FTE Calculator'!$AM:$AM,'FTE Calculator'!$A:$A,AC$39,'FTE Calculator'!$F:$F,"web"),SUMIFS('FTE Calculator'!$AP:$AP,'FTE Calculator'!$A:$A,AC$39,'FTE Calculator'!$F:$F,"email") + SUMIFS('FTE Calculator'!$AP:$AP,'FTE Calculator'!$A:$A,AC$39,'FTE Calculator'!$F:$F,"web"))</f>
        <v>0</v>
      </c>
      <c r="AD40" s="20">
        <f>IF(AD$39&lt;DATE(2026,3,1),SUMIFS('FTE Calculator'!$AM:$AM,'FTE Calculator'!$A:$A,AD$39,'FTE Calculator'!$F:$F,"email") + SUMIFS('FTE Calculator'!$AM:$AM,'FTE Calculator'!$A:$A,AD$39,'FTE Calculator'!$F:$F,"web"),SUMIFS('FTE Calculator'!$AP:$AP,'FTE Calculator'!$A:$A,AD$39,'FTE Calculator'!$F:$F,"email") + SUMIFS('FTE Calculator'!$AP:$AP,'FTE Calculator'!$A:$A,AD$39,'FTE Calculator'!$F:$F,"web"))</f>
        <v>0</v>
      </c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</row>
    <row r="41" spans="1:700" x14ac:dyDescent="0.25">
      <c r="A41" s="23" t="s">
        <v>32</v>
      </c>
      <c r="B41" s="24" t="s">
        <v>98</v>
      </c>
      <c r="C41" s="27">
        <f>IF(C$39&lt;DATE(2026,3,1),SUMIFS('FTE Calculator'!$AM:$AM,'FTE Calculator'!$A:$A,C$39,'FTE Calculator'!$C:$C,"Answerlink",'FTE Calculator'!$F:$F,"chat"),SUMIFS('FTE Calculator'!$AP:$AP,'FTE Calculator'!$A:$A,C$39,'FTE Calculator'!$C:$C,"Answerlink",'FTE Calculator'!$F:$F,"chat"))</f>
        <v>0</v>
      </c>
      <c r="D41" s="27">
        <f>IF(D$39&lt;DATE(2026,3,1),SUMIFS('FTE Calculator'!$AM:$AM,'FTE Calculator'!$A:$A,D$39,'FTE Calculator'!$C:$C,"Answerlink",'FTE Calculator'!$F:$F,"chat"),SUMIFS('FTE Calculator'!$AP:$AP,'FTE Calculator'!$A:$A,D$39,'FTE Calculator'!$C:$C,"Answerlink",'FTE Calculator'!$F:$F,"chat"))</f>
        <v>0</v>
      </c>
      <c r="E41" s="27">
        <f>IF(E$39&lt;DATE(2026,3,1),SUMIFS('FTE Calculator'!$AM:$AM,'FTE Calculator'!$A:$A,E$39,'FTE Calculator'!$C:$C,"Answerlink",'FTE Calculator'!$F:$F,"chat"),SUMIFS('FTE Calculator'!$AP:$AP,'FTE Calculator'!$A:$A,E$39,'FTE Calculator'!$C:$C,"Answerlink",'FTE Calculator'!$F:$F,"chat"))</f>
        <v>0</v>
      </c>
      <c r="F41" s="27">
        <f>IF(F$39&lt;DATE(2026,3,1),SUMIFS('FTE Calculator'!$AM:$AM,'FTE Calculator'!$A:$A,F$39,'FTE Calculator'!$C:$C,"Answerlink",'FTE Calculator'!$F:$F,"chat"),SUMIFS('FTE Calculator'!$AP:$AP,'FTE Calculator'!$A:$A,F$39,'FTE Calculator'!$C:$C,"Answerlink",'FTE Calculator'!$F:$F,"chat"))</f>
        <v>0</v>
      </c>
      <c r="G41" s="27">
        <f>IF(G$39&lt;DATE(2026,3,1),SUMIFS('FTE Calculator'!$AM:$AM,'FTE Calculator'!$A:$A,G$39,'FTE Calculator'!$C:$C,"Answerlink",'FTE Calculator'!$F:$F,"chat"),SUMIFS('FTE Calculator'!$AP:$AP,'FTE Calculator'!$A:$A,G$39,'FTE Calculator'!$C:$C,"Answerlink",'FTE Calculator'!$F:$F,"chat"))</f>
        <v>0</v>
      </c>
      <c r="H41" s="27">
        <f>IF(H$39&lt;DATE(2026,3,1),SUMIFS('FTE Calculator'!$AM:$AM,'FTE Calculator'!$A:$A,H$39,'FTE Calculator'!$C:$C,"Answerlink",'FTE Calculator'!$F:$F,"chat"),SUMIFS('FTE Calculator'!$AP:$AP,'FTE Calculator'!$A:$A,H$39,'FTE Calculator'!$C:$C,"Answerlink",'FTE Calculator'!$F:$F,"chat"))</f>
        <v>0</v>
      </c>
      <c r="I41" s="27">
        <f>IF(I$39&lt;DATE(2026,3,1),SUMIFS('FTE Calculator'!$AM:$AM,'FTE Calculator'!$A:$A,I$39,'FTE Calculator'!$C:$C,"Answerlink",'FTE Calculator'!$F:$F,"chat"),SUMIFS('FTE Calculator'!$AP:$AP,'FTE Calculator'!$A:$A,I$39,'FTE Calculator'!$C:$C,"Answerlink",'FTE Calculator'!$F:$F,"chat"))</f>
        <v>0</v>
      </c>
      <c r="J41" s="27">
        <f>IF(J$39&lt;DATE(2026,3,1),SUMIFS('FTE Calculator'!$AM:$AM,'FTE Calculator'!$A:$A,J$39,'FTE Calculator'!$C:$C,"Answerlink",'FTE Calculator'!$F:$F,"chat"),SUMIFS('FTE Calculator'!$AP:$AP,'FTE Calculator'!$A:$A,J$39,'FTE Calculator'!$C:$C,"Answerlink",'FTE Calculator'!$F:$F,"chat"))</f>
        <v>0</v>
      </c>
      <c r="K41" s="27">
        <f>IF(K$39&lt;DATE(2026,3,1),SUMIFS('FTE Calculator'!$AM:$AM,'FTE Calculator'!$A:$A,K$39,'FTE Calculator'!$C:$C,"Answerlink",'FTE Calculator'!$F:$F,"chat"),SUMIFS('FTE Calculator'!$AP:$AP,'FTE Calculator'!$A:$A,K$39,'FTE Calculator'!$C:$C,"Answerlink",'FTE Calculator'!$F:$F,"chat"))</f>
        <v>0</v>
      </c>
      <c r="L41" s="27">
        <f>IF(L$39&lt;DATE(2026,3,1),SUMIFS('FTE Calculator'!$AM:$AM,'FTE Calculator'!$A:$A,L$39,'FTE Calculator'!$C:$C,"Answerlink",'FTE Calculator'!$F:$F,"chat"),SUMIFS('FTE Calculator'!$AP:$AP,'FTE Calculator'!$A:$A,L$39,'FTE Calculator'!$C:$C,"Answerlink",'FTE Calculator'!$F:$F,"chat"))</f>
        <v>0</v>
      </c>
      <c r="M41" s="27">
        <f>IF(M$39&lt;DATE(2026,3,1),SUMIFS('FTE Calculator'!$AM:$AM,'FTE Calculator'!$A:$A,M$39,'FTE Calculator'!$C:$C,"Answerlink",'FTE Calculator'!$F:$F,"chat"),SUMIFS('FTE Calculator'!$AP:$AP,'FTE Calculator'!$A:$A,M$39,'FTE Calculator'!$C:$C,"Answerlink",'FTE Calculator'!$F:$F,"chat"))</f>
        <v>0</v>
      </c>
      <c r="N41" s="27">
        <f>IF(N$39&lt;DATE(2026,3,1),SUMIFS('FTE Calculator'!$AM:$AM,'FTE Calculator'!$A:$A,N$39,'FTE Calculator'!$C:$C,"Answerlink",'FTE Calculator'!$F:$F,"chat"),SUMIFS('FTE Calculator'!$AP:$AP,'FTE Calculator'!$A:$A,N$39,'FTE Calculator'!$C:$C,"Answerlink",'FTE Calculator'!$F:$F,"chat"))</f>
        <v>0</v>
      </c>
      <c r="O41" s="28">
        <f t="shared" si="12"/>
        <v>0</v>
      </c>
      <c r="P41" s="27">
        <f>IF(P$39&lt;DATE(2026,3,1),SUMIFS('FTE Calculator'!$AM:$AM,'FTE Calculator'!$A:$A,P$39,'FTE Calculator'!$C:$C,"Answerlink",'FTE Calculator'!$F:$F,"chat"),SUMIFS('FTE Calculator'!$AP:$AP,'FTE Calculator'!$A:$A,P$39,'FTE Calculator'!$C:$C,"Answerlink",'FTE Calculator'!$F:$F,"chat"))</f>
        <v>0</v>
      </c>
      <c r="Q41" s="27">
        <f>IF(Q$39&lt;DATE(2026,3,1),SUMIFS('FTE Calculator'!$AM:$AM,'FTE Calculator'!$A:$A,Q$39,'FTE Calculator'!$C:$C,"Answerlink",'FTE Calculator'!$F:$F,"chat"),SUMIFS('FTE Calculator'!$AP:$AP,'FTE Calculator'!$A:$A,Q$39,'FTE Calculator'!$C:$C,"Answerlink",'FTE Calculator'!$F:$F,"chat"))</f>
        <v>0</v>
      </c>
      <c r="R41" s="27">
        <f>IF(R$39&lt;DATE(2026,3,1),SUMIFS('FTE Calculator'!$AM:$AM,'FTE Calculator'!$A:$A,R$39,'FTE Calculator'!$C:$C,"Answerlink",'FTE Calculator'!$F:$F,"chat"),SUMIFS('FTE Calculator'!$AP:$AP,'FTE Calculator'!$A:$A,R$39,'FTE Calculator'!$C:$C,"Answerlink",'FTE Calculator'!$F:$F,"chat"))</f>
        <v>0</v>
      </c>
      <c r="S41" s="27">
        <f>IF(S$39&lt;DATE(2026,3,1),SUMIFS('FTE Calculator'!$AM:$AM,'FTE Calculator'!$A:$A,S$39,'FTE Calculator'!$C:$C,"Answerlink",'FTE Calculator'!$F:$F,"chat"),SUMIFS('FTE Calculator'!$AP:$AP,'FTE Calculator'!$A:$A,S$39,'FTE Calculator'!$C:$C,"Answerlink",'FTE Calculator'!$F:$F,"chat"))</f>
        <v>0</v>
      </c>
      <c r="T41" s="27">
        <f>IF(T$39&lt;DATE(2026,3,1),SUMIFS('FTE Calculator'!$AM:$AM,'FTE Calculator'!$A:$A,T$39,'FTE Calculator'!$C:$C,"Answerlink",'FTE Calculator'!$F:$F,"chat"),SUMIFS('FTE Calculator'!$AP:$AP,'FTE Calculator'!$A:$A,T$39,'FTE Calculator'!$C:$C,"Answerlink",'FTE Calculator'!$F:$F,"chat"))</f>
        <v>0</v>
      </c>
      <c r="U41" s="27">
        <f>IF(U$39&lt;DATE(2026,3,1),SUMIFS('FTE Calculator'!$AM:$AM,'FTE Calculator'!$A:$A,U$39,'FTE Calculator'!$C:$C,"Answerlink",'FTE Calculator'!$F:$F,"chat"),SUMIFS('FTE Calculator'!$AP:$AP,'FTE Calculator'!$A:$A,U$39,'FTE Calculator'!$C:$C,"Answerlink",'FTE Calculator'!$F:$F,"chat"))</f>
        <v>0</v>
      </c>
      <c r="V41" s="27">
        <f>IF(V$39&lt;DATE(2026,3,1),SUMIFS('FTE Calculator'!$AM:$AM,'FTE Calculator'!$A:$A,V$39,'FTE Calculator'!$C:$C,"Answerlink",'FTE Calculator'!$F:$F,"chat"),SUMIFS('FTE Calculator'!$AP:$AP,'FTE Calculator'!$A:$A,V$39,'FTE Calculator'!$C:$C,"Answerlink",'FTE Calculator'!$F:$F,"chat"))</f>
        <v>0</v>
      </c>
      <c r="W41" s="27">
        <f>IF(W$39&lt;DATE(2026,3,1),SUMIFS('FTE Calculator'!$AM:$AM,'FTE Calculator'!$A:$A,W$39,'FTE Calculator'!$C:$C,"Answerlink",'FTE Calculator'!$F:$F,"chat"),SUMIFS('FTE Calculator'!$AP:$AP,'FTE Calculator'!$A:$A,W$39,'FTE Calculator'!$C:$C,"Answerlink",'FTE Calculator'!$F:$F,"chat"))</f>
        <v>0</v>
      </c>
      <c r="X41" s="27">
        <f>IF(X$39&lt;DATE(2026,3,1),SUMIFS('FTE Calculator'!$AM:$AM,'FTE Calculator'!$A:$A,X$39,'FTE Calculator'!$C:$C,"Answerlink",'FTE Calculator'!$F:$F,"chat"),SUMIFS('FTE Calculator'!$AP:$AP,'FTE Calculator'!$A:$A,X$39,'FTE Calculator'!$C:$C,"Answerlink",'FTE Calculator'!$F:$F,"chat"))</f>
        <v>0</v>
      </c>
      <c r="Y41" s="27">
        <f>IF(Y$39&lt;DATE(2026,3,1),SUMIFS('FTE Calculator'!$AM:$AM,'FTE Calculator'!$A:$A,Y$39,'FTE Calculator'!$C:$C,"Answerlink",'FTE Calculator'!$F:$F,"chat"),SUMIFS('FTE Calculator'!$AP:$AP,'FTE Calculator'!$A:$A,Y$39,'FTE Calculator'!$C:$C,"Answerlink",'FTE Calculator'!$F:$F,"chat"))</f>
        <v>0</v>
      </c>
      <c r="Z41" s="27">
        <f>IF(Z$39&lt;DATE(2026,3,1),SUMIFS('FTE Calculator'!$AM:$AM,'FTE Calculator'!$A:$A,Z$39,'FTE Calculator'!$C:$C,"Answerlink",'FTE Calculator'!$F:$F,"chat"),SUMIFS('FTE Calculator'!$AP:$AP,'FTE Calculator'!$A:$A,Z$39,'FTE Calculator'!$C:$C,"Answerlink",'FTE Calculator'!$F:$F,"chat"))</f>
        <v>0</v>
      </c>
      <c r="AA41" s="27">
        <f>IF(AA$39&lt;DATE(2026,3,1),SUMIFS('FTE Calculator'!$AM:$AM,'FTE Calculator'!$A:$A,AA$39,'FTE Calculator'!$C:$C,"Answerlink",'FTE Calculator'!$F:$F,"chat"),SUMIFS('FTE Calculator'!$AP:$AP,'FTE Calculator'!$A:$A,AA$39,'FTE Calculator'!$C:$C,"Answerlink",'FTE Calculator'!$F:$F,"chat"))</f>
        <v>0</v>
      </c>
      <c r="AB41" s="28">
        <f t="shared" si="13"/>
        <v>0</v>
      </c>
      <c r="AC41" s="27">
        <f>IF(AC$39&lt;DATE(2026,3,1),SUMIFS('FTE Calculator'!$AM:$AM,'FTE Calculator'!$A:$A,AC$39,'FTE Calculator'!$C:$C,"Answerlink",'FTE Calculator'!$F:$F,"chat"),SUMIFS('FTE Calculator'!$AP:$AP,'FTE Calculator'!$A:$A,AC$39,'FTE Calculator'!$C:$C,"Answerlink",'FTE Calculator'!$F:$F,"chat"))</f>
        <v>0</v>
      </c>
      <c r="AD41" s="27">
        <f>IF(AD$39&lt;DATE(2026,3,1),SUMIFS('FTE Calculator'!$AM:$AM,'FTE Calculator'!$A:$A,AD$39,'FTE Calculator'!$C:$C,"Answerlink",'FTE Calculator'!$F:$F,"chat"),SUMIFS('FTE Calculator'!$AP:$AP,'FTE Calculator'!$A:$A,AD$39,'FTE Calculator'!$C:$C,"Answerlink",'FTE Calculator'!$F:$F,"chat"))</f>
        <v>0</v>
      </c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</row>
    <row r="42" spans="1:700" x14ac:dyDescent="0.25">
      <c r="A42" s="17" t="s">
        <v>33</v>
      </c>
      <c r="B42" s="18" t="s">
        <v>92</v>
      </c>
      <c r="C42" s="20">
        <f>IF(C$39&lt;DATE(2026,3,1),SUMIFS('FTE Calculator'!$AM:$AM,'FTE Calculator'!$A:$A,C$39,'FTE Calculator'!$C:$C,"AmerDisAct",'FTE Calculator'!$F:$F,"phone"),SUMIFS('FTE Calculator'!$AP:$AP,'FTE Calculator'!$A:$A,C$39,'FTE Calculator'!$C:$C,"AmerDisAct",'FTE Calculator'!$F:$F,"phone"))</f>
        <v>0</v>
      </c>
      <c r="D42" s="20">
        <f>IF(D$39&lt;DATE(2026,3,1),SUMIFS('FTE Calculator'!$AM:$AM,'FTE Calculator'!$A:$A,D$39,'FTE Calculator'!$C:$C,"AmerDisAct",'FTE Calculator'!$F:$F,"phone"),SUMIFS('FTE Calculator'!$AP:$AP,'FTE Calculator'!$A:$A,D$39,'FTE Calculator'!$C:$C,"AmerDisAct",'FTE Calculator'!$F:$F,"phone"))</f>
        <v>0</v>
      </c>
      <c r="E42" s="20">
        <f>IF(E$39&lt;DATE(2026,3,1),SUMIFS('FTE Calculator'!$AM:$AM,'FTE Calculator'!$A:$A,E$39,'FTE Calculator'!$C:$C,"AmerDisAct",'FTE Calculator'!$F:$F,"phone"),SUMIFS('FTE Calculator'!$AP:$AP,'FTE Calculator'!$A:$A,E$39,'FTE Calculator'!$C:$C,"AmerDisAct",'FTE Calculator'!$F:$F,"phone"))</f>
        <v>0</v>
      </c>
      <c r="F42" s="20">
        <f>IF(F$39&lt;DATE(2026,3,1),SUMIFS('FTE Calculator'!$AM:$AM,'FTE Calculator'!$A:$A,F$39,'FTE Calculator'!$C:$C,"AmerDisAct",'FTE Calculator'!$F:$F,"phone"),SUMIFS('FTE Calculator'!$AP:$AP,'FTE Calculator'!$A:$A,F$39,'FTE Calculator'!$C:$C,"AmerDisAct",'FTE Calculator'!$F:$F,"phone"))</f>
        <v>0</v>
      </c>
      <c r="G42" s="20">
        <f>IF(G$39&lt;DATE(2026,3,1),SUMIFS('FTE Calculator'!$AM:$AM,'FTE Calculator'!$A:$A,G$39,'FTE Calculator'!$C:$C,"AmerDisAct",'FTE Calculator'!$F:$F,"phone"),SUMIFS('FTE Calculator'!$AP:$AP,'FTE Calculator'!$A:$A,G$39,'FTE Calculator'!$C:$C,"AmerDisAct",'FTE Calculator'!$F:$F,"phone"))</f>
        <v>0</v>
      </c>
      <c r="H42" s="20">
        <f>IF(H$39&lt;DATE(2026,3,1),SUMIFS('FTE Calculator'!$AM:$AM,'FTE Calculator'!$A:$A,H$39,'FTE Calculator'!$C:$C,"AmerDisAct",'FTE Calculator'!$F:$F,"phone"),SUMIFS('FTE Calculator'!$AP:$AP,'FTE Calculator'!$A:$A,H$39,'FTE Calculator'!$C:$C,"AmerDisAct",'FTE Calculator'!$F:$F,"phone"))</f>
        <v>0</v>
      </c>
      <c r="I42" s="20">
        <f>IF(I$39&lt;DATE(2026,3,1),SUMIFS('FTE Calculator'!$AM:$AM,'FTE Calculator'!$A:$A,I$39,'FTE Calculator'!$C:$C,"AmerDisAct",'FTE Calculator'!$F:$F,"phone"),SUMIFS('FTE Calculator'!$AP:$AP,'FTE Calculator'!$A:$A,I$39,'FTE Calculator'!$C:$C,"AmerDisAct",'FTE Calculator'!$F:$F,"phone"))</f>
        <v>0</v>
      </c>
      <c r="J42" s="20">
        <f>IF(J$39&lt;DATE(2026,3,1),SUMIFS('FTE Calculator'!$AM:$AM,'FTE Calculator'!$A:$A,J$39,'FTE Calculator'!$C:$C,"AmerDisAct",'FTE Calculator'!$F:$F,"phone"),SUMIFS('FTE Calculator'!$AP:$AP,'FTE Calculator'!$A:$A,J$39,'FTE Calculator'!$C:$C,"AmerDisAct",'FTE Calculator'!$F:$F,"phone"))</f>
        <v>0</v>
      </c>
      <c r="K42" s="20">
        <f>IF(K$39&lt;DATE(2026,3,1),SUMIFS('FTE Calculator'!$AM:$AM,'FTE Calculator'!$A:$A,K$39,'FTE Calculator'!$C:$C,"AmerDisAct",'FTE Calculator'!$F:$F,"phone"),SUMIFS('FTE Calculator'!$AP:$AP,'FTE Calculator'!$A:$A,K$39,'FTE Calculator'!$C:$C,"AmerDisAct",'FTE Calculator'!$F:$F,"phone"))</f>
        <v>0</v>
      </c>
      <c r="L42" s="20">
        <f>IF(L$39&lt;DATE(2026,3,1),SUMIFS('FTE Calculator'!$AM:$AM,'FTE Calculator'!$A:$A,L$39,'FTE Calculator'!$C:$C,"AmerDisAct",'FTE Calculator'!$F:$F,"phone"),SUMIFS('FTE Calculator'!$AP:$AP,'FTE Calculator'!$A:$A,L$39,'FTE Calculator'!$C:$C,"AmerDisAct",'FTE Calculator'!$F:$F,"phone"))</f>
        <v>0</v>
      </c>
      <c r="M42" s="20">
        <f>IF(M$39&lt;DATE(2026,3,1),SUMIFS('FTE Calculator'!$AM:$AM,'FTE Calculator'!$A:$A,M$39,'FTE Calculator'!$C:$C,"AmerDisAct",'FTE Calculator'!$F:$F,"phone"),SUMIFS('FTE Calculator'!$AP:$AP,'FTE Calculator'!$A:$A,M$39,'FTE Calculator'!$C:$C,"AmerDisAct",'FTE Calculator'!$F:$F,"phone"))</f>
        <v>0</v>
      </c>
      <c r="N42" s="20">
        <f>IF(N$39&lt;DATE(2026,3,1),SUMIFS('FTE Calculator'!$AM:$AM,'FTE Calculator'!$A:$A,N$39,'FTE Calculator'!$C:$C,"AmerDisAct",'FTE Calculator'!$F:$F,"phone"),SUMIFS('FTE Calculator'!$AP:$AP,'FTE Calculator'!$A:$A,N$39,'FTE Calculator'!$C:$C,"AmerDisAct",'FTE Calculator'!$F:$F,"phone"))</f>
        <v>0</v>
      </c>
      <c r="O42" s="28">
        <f t="shared" si="12"/>
        <v>0</v>
      </c>
      <c r="P42" s="20">
        <f>IF(P$39&lt;DATE(2026,3,1),SUMIFS('FTE Calculator'!$AM:$AM,'FTE Calculator'!$A:$A,P$39,'FTE Calculator'!$C:$C,"AmerDisAct",'FTE Calculator'!$F:$F,"phone"),SUMIFS('FTE Calculator'!$AP:$AP,'FTE Calculator'!$A:$A,P$39,'FTE Calculator'!$C:$C,"AmerDisAct",'FTE Calculator'!$F:$F,"phone"))</f>
        <v>0</v>
      </c>
      <c r="Q42" s="20">
        <f>IF(Q$39&lt;DATE(2026,3,1),SUMIFS('FTE Calculator'!$AM:$AM,'FTE Calculator'!$A:$A,Q$39,'FTE Calculator'!$C:$C,"AmerDisAct",'FTE Calculator'!$F:$F,"phone"),SUMIFS('FTE Calculator'!$AP:$AP,'FTE Calculator'!$A:$A,Q$39,'FTE Calculator'!$C:$C,"AmerDisAct",'FTE Calculator'!$F:$F,"phone"))</f>
        <v>0</v>
      </c>
      <c r="R42" s="20">
        <f>IF(R$39&lt;DATE(2026,3,1),SUMIFS('FTE Calculator'!$AM:$AM,'FTE Calculator'!$A:$A,R$39,'FTE Calculator'!$C:$C,"AmerDisAct",'FTE Calculator'!$F:$F,"phone"),SUMIFS('FTE Calculator'!$AP:$AP,'FTE Calculator'!$A:$A,R$39,'FTE Calculator'!$C:$C,"AmerDisAct",'FTE Calculator'!$F:$F,"phone"))</f>
        <v>0</v>
      </c>
      <c r="S42" s="20">
        <f>IF(S$39&lt;DATE(2026,3,1),SUMIFS('FTE Calculator'!$AM:$AM,'FTE Calculator'!$A:$A,S$39,'FTE Calculator'!$C:$C,"AmerDisAct",'FTE Calculator'!$F:$F,"phone"),SUMIFS('FTE Calculator'!$AP:$AP,'FTE Calculator'!$A:$A,S$39,'FTE Calculator'!$C:$C,"AmerDisAct",'FTE Calculator'!$F:$F,"phone"))</f>
        <v>0</v>
      </c>
      <c r="T42" s="20">
        <f>IF(T$39&lt;DATE(2026,3,1),SUMIFS('FTE Calculator'!$AM:$AM,'FTE Calculator'!$A:$A,T$39,'FTE Calculator'!$C:$C,"AmerDisAct",'FTE Calculator'!$F:$F,"phone"),SUMIFS('FTE Calculator'!$AP:$AP,'FTE Calculator'!$A:$A,T$39,'FTE Calculator'!$C:$C,"AmerDisAct",'FTE Calculator'!$F:$F,"phone"))</f>
        <v>0</v>
      </c>
      <c r="U42" s="20">
        <f>IF(U$39&lt;DATE(2026,3,1),SUMIFS('FTE Calculator'!$AM:$AM,'FTE Calculator'!$A:$A,U$39,'FTE Calculator'!$C:$C,"AmerDisAct",'FTE Calculator'!$F:$F,"phone"),SUMIFS('FTE Calculator'!$AP:$AP,'FTE Calculator'!$A:$A,U$39,'FTE Calculator'!$C:$C,"AmerDisAct",'FTE Calculator'!$F:$F,"phone"))</f>
        <v>0</v>
      </c>
      <c r="V42" s="20">
        <f>IF(V$39&lt;DATE(2026,3,1),SUMIFS('FTE Calculator'!$AM:$AM,'FTE Calculator'!$A:$A,V$39,'FTE Calculator'!$C:$C,"AmerDisAct",'FTE Calculator'!$F:$F,"phone"),SUMIFS('FTE Calculator'!$AP:$AP,'FTE Calculator'!$A:$A,V$39,'FTE Calculator'!$C:$C,"AmerDisAct",'FTE Calculator'!$F:$F,"phone"))</f>
        <v>0</v>
      </c>
      <c r="W42" s="20">
        <f>IF(W$39&lt;DATE(2026,3,1),SUMIFS('FTE Calculator'!$AM:$AM,'FTE Calculator'!$A:$A,W$39,'FTE Calculator'!$C:$C,"AmerDisAct",'FTE Calculator'!$F:$F,"phone"),SUMIFS('FTE Calculator'!$AP:$AP,'FTE Calculator'!$A:$A,W$39,'FTE Calculator'!$C:$C,"AmerDisAct",'FTE Calculator'!$F:$F,"phone"))</f>
        <v>0</v>
      </c>
      <c r="X42" s="20">
        <f>IF(X$39&lt;DATE(2026,3,1),SUMIFS('FTE Calculator'!$AM:$AM,'FTE Calculator'!$A:$A,X$39,'FTE Calculator'!$C:$C,"AmerDisAct",'FTE Calculator'!$F:$F,"phone"),SUMIFS('FTE Calculator'!$AP:$AP,'FTE Calculator'!$A:$A,X$39,'FTE Calculator'!$C:$C,"AmerDisAct",'FTE Calculator'!$F:$F,"phone"))</f>
        <v>0</v>
      </c>
      <c r="Y42" s="20">
        <f>IF(Y$39&lt;DATE(2026,3,1),SUMIFS('FTE Calculator'!$AM:$AM,'FTE Calculator'!$A:$A,Y$39,'FTE Calculator'!$C:$C,"AmerDisAct",'FTE Calculator'!$F:$F,"phone"),SUMIFS('FTE Calculator'!$AP:$AP,'FTE Calculator'!$A:$A,Y$39,'FTE Calculator'!$C:$C,"AmerDisAct",'FTE Calculator'!$F:$F,"phone"))</f>
        <v>0</v>
      </c>
      <c r="Z42" s="20">
        <f>IF(Z$39&lt;DATE(2026,3,1),SUMIFS('FTE Calculator'!$AM:$AM,'FTE Calculator'!$A:$A,Z$39,'FTE Calculator'!$C:$C,"AmerDisAct",'FTE Calculator'!$F:$F,"phone"),SUMIFS('FTE Calculator'!$AP:$AP,'FTE Calculator'!$A:$A,Z$39,'FTE Calculator'!$C:$C,"AmerDisAct",'FTE Calculator'!$F:$F,"phone"))</f>
        <v>0</v>
      </c>
      <c r="AA42" s="20">
        <f>IF(AA$39&lt;DATE(2026,3,1),SUMIFS('FTE Calculator'!$AM:$AM,'FTE Calculator'!$A:$A,AA$39,'FTE Calculator'!$C:$C,"AmerDisAct",'FTE Calculator'!$F:$F,"phone"),SUMIFS('FTE Calculator'!$AP:$AP,'FTE Calculator'!$A:$A,AA$39,'FTE Calculator'!$C:$C,"AmerDisAct",'FTE Calculator'!$F:$F,"phone"))</f>
        <v>0</v>
      </c>
      <c r="AB42" s="28">
        <f t="shared" si="13"/>
        <v>0</v>
      </c>
      <c r="AC42" s="20">
        <f>IF(AC$39&lt;DATE(2026,3,1),SUMIFS('FTE Calculator'!$AM:$AM,'FTE Calculator'!$A:$A,AC$39,'FTE Calculator'!$C:$C,"AmerDisAct",'FTE Calculator'!$F:$F,"phone"),SUMIFS('FTE Calculator'!$AP:$AP,'FTE Calculator'!$A:$A,AC$39,'FTE Calculator'!$C:$C,"AmerDisAct",'FTE Calculator'!$F:$F,"phone"))</f>
        <v>0</v>
      </c>
      <c r="AD42" s="20">
        <f>IF(AD$39&lt;DATE(2026,3,1),SUMIFS('FTE Calculator'!$AM:$AM,'FTE Calculator'!$A:$A,AD$39,'FTE Calculator'!$C:$C,"AmerDisAct",'FTE Calculator'!$F:$F,"phone"),SUMIFS('FTE Calculator'!$AP:$AP,'FTE Calculator'!$A:$A,AD$39,'FTE Calculator'!$C:$C,"AmerDisAct",'FTE Calculator'!$F:$F,"phone"))</f>
        <v>0</v>
      </c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</row>
    <row r="43" spans="1:700" x14ac:dyDescent="0.25">
      <c r="A43" s="23" t="s">
        <v>36</v>
      </c>
      <c r="B43" s="24" t="s">
        <v>92</v>
      </c>
      <c r="C43" s="27">
        <f>IF(C$39&lt;DATE(2026,3,1),SUMIFS('FTE Calculator'!$AM:$AM,'FTE Calculator'!$A:$A,C$39,'FTE Calculator'!$C:$C,"EMGLine",'FTE Calculator'!$F:$F,"phone"),SUMIFS('FTE Calculator'!$AP:$AP,'FTE Calculator'!$A:$A,C$39,'FTE Calculator'!$C:$C,"EMGLine",'FTE Calculator'!$F:$F,"phone"))</f>
        <v>0</v>
      </c>
      <c r="D43" s="27">
        <f>IF(D$39&lt;DATE(2026,3,1),SUMIFS('FTE Calculator'!$AM:$AM,'FTE Calculator'!$A:$A,D$39,'FTE Calculator'!$C:$C,"EMGLine",'FTE Calculator'!$F:$F,"phone"),SUMIFS('FTE Calculator'!$AP:$AP,'FTE Calculator'!$A:$A,D$39,'FTE Calculator'!$C:$C,"EMGLine",'FTE Calculator'!$F:$F,"phone"))</f>
        <v>0</v>
      </c>
      <c r="E43" s="27">
        <f>IF(E$39&lt;DATE(2026,3,1),SUMIFS('FTE Calculator'!$AM:$AM,'FTE Calculator'!$A:$A,E$39,'FTE Calculator'!$C:$C,"EMGLine",'FTE Calculator'!$F:$F,"phone"),SUMIFS('FTE Calculator'!$AP:$AP,'FTE Calculator'!$A:$A,E$39,'FTE Calculator'!$C:$C,"EMGLine",'FTE Calculator'!$F:$F,"phone"))</f>
        <v>0</v>
      </c>
      <c r="F43" s="27">
        <f>IF(F$39&lt;DATE(2026,3,1),SUMIFS('FTE Calculator'!$AM:$AM,'FTE Calculator'!$A:$A,F$39,'FTE Calculator'!$C:$C,"EMGLine",'FTE Calculator'!$F:$F,"phone"),SUMIFS('FTE Calculator'!$AP:$AP,'FTE Calculator'!$A:$A,F$39,'FTE Calculator'!$C:$C,"EMGLine",'FTE Calculator'!$F:$F,"phone"))</f>
        <v>0</v>
      </c>
      <c r="G43" s="27">
        <f>IF(G$39&lt;DATE(2026,3,1),SUMIFS('FTE Calculator'!$AM:$AM,'FTE Calculator'!$A:$A,G$39,'FTE Calculator'!$C:$C,"EMGLine",'FTE Calculator'!$F:$F,"phone"),SUMIFS('FTE Calculator'!$AP:$AP,'FTE Calculator'!$A:$A,G$39,'FTE Calculator'!$C:$C,"EMGLine",'FTE Calculator'!$F:$F,"phone"))</f>
        <v>0</v>
      </c>
      <c r="H43" s="27">
        <f>IF(H$39&lt;DATE(2026,3,1),SUMIFS('FTE Calculator'!$AM:$AM,'FTE Calculator'!$A:$A,H$39,'FTE Calculator'!$C:$C,"EMGLine",'FTE Calculator'!$F:$F,"phone"),SUMIFS('FTE Calculator'!$AP:$AP,'FTE Calculator'!$A:$A,H$39,'FTE Calculator'!$C:$C,"EMGLine",'FTE Calculator'!$F:$F,"phone"))</f>
        <v>0</v>
      </c>
      <c r="I43" s="27">
        <f>IF(I$39&lt;DATE(2026,3,1),SUMIFS('FTE Calculator'!$AM:$AM,'FTE Calculator'!$A:$A,I$39,'FTE Calculator'!$C:$C,"EMGLine",'FTE Calculator'!$F:$F,"phone"),SUMIFS('FTE Calculator'!$AP:$AP,'FTE Calculator'!$A:$A,I$39,'FTE Calculator'!$C:$C,"EMGLine",'FTE Calculator'!$F:$F,"phone"))</f>
        <v>0</v>
      </c>
      <c r="J43" s="27">
        <f>IF(J$39&lt;DATE(2026,3,1),SUMIFS('FTE Calculator'!$AM:$AM,'FTE Calculator'!$A:$A,J$39,'FTE Calculator'!$C:$C,"EMGLine",'FTE Calculator'!$F:$F,"phone"),SUMIFS('FTE Calculator'!$AP:$AP,'FTE Calculator'!$A:$A,J$39,'FTE Calculator'!$C:$C,"EMGLine",'FTE Calculator'!$F:$F,"phone"))</f>
        <v>0</v>
      </c>
      <c r="K43" s="27">
        <f>IF(K$39&lt;DATE(2026,3,1),SUMIFS('FTE Calculator'!$AM:$AM,'FTE Calculator'!$A:$A,K$39,'FTE Calculator'!$C:$C,"EMGLine",'FTE Calculator'!$F:$F,"phone"),SUMIFS('FTE Calculator'!$AP:$AP,'FTE Calculator'!$A:$A,K$39,'FTE Calculator'!$C:$C,"EMGLine",'FTE Calculator'!$F:$F,"phone"))</f>
        <v>0</v>
      </c>
      <c r="L43" s="27">
        <f>IF(L$39&lt;DATE(2026,3,1),SUMIFS('FTE Calculator'!$AM:$AM,'FTE Calculator'!$A:$A,L$39,'FTE Calculator'!$C:$C,"EMGLine",'FTE Calculator'!$F:$F,"phone"),SUMIFS('FTE Calculator'!$AP:$AP,'FTE Calculator'!$A:$A,L$39,'FTE Calculator'!$C:$C,"EMGLine",'FTE Calculator'!$F:$F,"phone"))</f>
        <v>0</v>
      </c>
      <c r="M43" s="27">
        <f>IF(M$39&lt;DATE(2026,3,1),SUMIFS('FTE Calculator'!$AM:$AM,'FTE Calculator'!$A:$A,M$39,'FTE Calculator'!$C:$C,"EMGLine",'FTE Calculator'!$F:$F,"phone"),SUMIFS('FTE Calculator'!$AP:$AP,'FTE Calculator'!$A:$A,M$39,'FTE Calculator'!$C:$C,"EMGLine",'FTE Calculator'!$F:$F,"phone"))</f>
        <v>0</v>
      </c>
      <c r="N43" s="27">
        <f>IF(N$39&lt;DATE(2026,3,1),SUMIFS('FTE Calculator'!$AM:$AM,'FTE Calculator'!$A:$A,N$39,'FTE Calculator'!$C:$C,"EMGLine",'FTE Calculator'!$F:$F,"phone"),SUMIFS('FTE Calculator'!$AP:$AP,'FTE Calculator'!$A:$A,N$39,'FTE Calculator'!$C:$C,"EMGLine",'FTE Calculator'!$F:$F,"phone"))</f>
        <v>0</v>
      </c>
      <c r="O43" s="28">
        <f t="shared" si="12"/>
        <v>0</v>
      </c>
      <c r="P43" s="27">
        <f>IF(P$39&lt;DATE(2026,3,1),SUMIFS('FTE Calculator'!$AM:$AM,'FTE Calculator'!$A:$A,P$39,'FTE Calculator'!$C:$C,"EMGLine",'FTE Calculator'!$F:$F,"phone"),SUMIFS('FTE Calculator'!$AP:$AP,'FTE Calculator'!$A:$A,P$39,'FTE Calculator'!$C:$C,"EMGLine",'FTE Calculator'!$F:$F,"phone"))</f>
        <v>0</v>
      </c>
      <c r="Q43" s="27">
        <f>IF(Q$39&lt;DATE(2026,3,1),SUMIFS('FTE Calculator'!$AM:$AM,'FTE Calculator'!$A:$A,Q$39,'FTE Calculator'!$C:$C,"EMGLine",'FTE Calculator'!$F:$F,"phone"),SUMIFS('FTE Calculator'!$AP:$AP,'FTE Calculator'!$A:$A,Q$39,'FTE Calculator'!$C:$C,"EMGLine",'FTE Calculator'!$F:$F,"phone"))</f>
        <v>0</v>
      </c>
      <c r="R43" s="27">
        <f>IF(R$39&lt;DATE(2026,3,1),SUMIFS('FTE Calculator'!$AM:$AM,'FTE Calculator'!$A:$A,R$39,'FTE Calculator'!$C:$C,"EMGLine",'FTE Calculator'!$F:$F,"phone"),SUMIFS('FTE Calculator'!$AP:$AP,'FTE Calculator'!$A:$A,R$39,'FTE Calculator'!$C:$C,"EMGLine",'FTE Calculator'!$F:$F,"phone"))</f>
        <v>0</v>
      </c>
      <c r="S43" s="27">
        <f>IF(S$39&lt;DATE(2026,3,1),SUMIFS('FTE Calculator'!$AM:$AM,'FTE Calculator'!$A:$A,S$39,'FTE Calculator'!$C:$C,"EMGLine",'FTE Calculator'!$F:$F,"phone"),SUMIFS('FTE Calculator'!$AP:$AP,'FTE Calculator'!$A:$A,S$39,'FTE Calculator'!$C:$C,"EMGLine",'FTE Calculator'!$F:$F,"phone"))</f>
        <v>0</v>
      </c>
      <c r="T43" s="27">
        <f>IF(T$39&lt;DATE(2026,3,1),SUMIFS('FTE Calculator'!$AM:$AM,'FTE Calculator'!$A:$A,T$39,'FTE Calculator'!$C:$C,"EMGLine",'FTE Calculator'!$F:$F,"phone"),SUMIFS('FTE Calculator'!$AP:$AP,'FTE Calculator'!$A:$A,T$39,'FTE Calculator'!$C:$C,"EMGLine",'FTE Calculator'!$F:$F,"phone"))</f>
        <v>0</v>
      </c>
      <c r="U43" s="27">
        <f>IF(U$39&lt;DATE(2026,3,1),SUMIFS('FTE Calculator'!$AM:$AM,'FTE Calculator'!$A:$A,U$39,'FTE Calculator'!$C:$C,"EMGLine",'FTE Calculator'!$F:$F,"phone"),SUMIFS('FTE Calculator'!$AP:$AP,'FTE Calculator'!$A:$A,U$39,'FTE Calculator'!$C:$C,"EMGLine",'FTE Calculator'!$F:$F,"phone"))</f>
        <v>0</v>
      </c>
      <c r="V43" s="27">
        <f>IF(V$39&lt;DATE(2026,3,1),SUMIFS('FTE Calculator'!$AM:$AM,'FTE Calculator'!$A:$A,V$39,'FTE Calculator'!$C:$C,"EMGLine",'FTE Calculator'!$F:$F,"phone"),SUMIFS('FTE Calculator'!$AP:$AP,'FTE Calculator'!$A:$A,V$39,'FTE Calculator'!$C:$C,"EMGLine",'FTE Calculator'!$F:$F,"phone"))</f>
        <v>0</v>
      </c>
      <c r="W43" s="27">
        <f>IF(W$39&lt;DATE(2026,3,1),SUMIFS('FTE Calculator'!$AM:$AM,'FTE Calculator'!$A:$A,W$39,'FTE Calculator'!$C:$C,"EMGLine",'FTE Calculator'!$F:$F,"phone"),SUMIFS('FTE Calculator'!$AP:$AP,'FTE Calculator'!$A:$A,W$39,'FTE Calculator'!$C:$C,"EMGLine",'FTE Calculator'!$F:$F,"phone"))</f>
        <v>0</v>
      </c>
      <c r="X43" s="27">
        <f>IF(X$39&lt;DATE(2026,3,1),SUMIFS('FTE Calculator'!$AM:$AM,'FTE Calculator'!$A:$A,X$39,'FTE Calculator'!$C:$C,"EMGLine",'FTE Calculator'!$F:$F,"phone"),SUMIFS('FTE Calculator'!$AP:$AP,'FTE Calculator'!$A:$A,X$39,'FTE Calculator'!$C:$C,"EMGLine",'FTE Calculator'!$F:$F,"phone"))</f>
        <v>0</v>
      </c>
      <c r="Y43" s="27">
        <f>IF(Y$39&lt;DATE(2026,3,1),SUMIFS('FTE Calculator'!$AM:$AM,'FTE Calculator'!$A:$A,Y$39,'FTE Calculator'!$C:$C,"EMGLine",'FTE Calculator'!$F:$F,"phone"),SUMIFS('FTE Calculator'!$AP:$AP,'FTE Calculator'!$A:$A,Y$39,'FTE Calculator'!$C:$C,"EMGLine",'FTE Calculator'!$F:$F,"phone"))</f>
        <v>0</v>
      </c>
      <c r="Z43" s="27">
        <f>IF(Z$39&lt;DATE(2026,3,1),SUMIFS('FTE Calculator'!$AM:$AM,'FTE Calculator'!$A:$A,Z$39,'FTE Calculator'!$C:$C,"EMGLine",'FTE Calculator'!$F:$F,"phone"),SUMIFS('FTE Calculator'!$AP:$AP,'FTE Calculator'!$A:$A,Z$39,'FTE Calculator'!$C:$C,"EMGLine",'FTE Calculator'!$F:$F,"phone"))</f>
        <v>0</v>
      </c>
      <c r="AA43" s="27">
        <f>IF(AA$39&lt;DATE(2026,3,1),SUMIFS('FTE Calculator'!$AM:$AM,'FTE Calculator'!$A:$A,AA$39,'FTE Calculator'!$C:$C,"EMGLine",'FTE Calculator'!$F:$F,"phone"),SUMIFS('FTE Calculator'!$AP:$AP,'FTE Calculator'!$A:$A,AA$39,'FTE Calculator'!$C:$C,"EMGLine",'FTE Calculator'!$F:$F,"phone"))</f>
        <v>0</v>
      </c>
      <c r="AB43" s="28">
        <f t="shared" si="13"/>
        <v>0</v>
      </c>
      <c r="AC43" s="27">
        <f>IF(AC$39&lt;DATE(2026,3,1),SUMIFS('FTE Calculator'!$AM:$AM,'FTE Calculator'!$A:$A,AC$39,'FTE Calculator'!$C:$C,"EMGLine",'FTE Calculator'!$F:$F,"phone"),SUMIFS('FTE Calculator'!$AP:$AP,'FTE Calculator'!$A:$A,AC$39,'FTE Calculator'!$C:$C,"EMGLine",'FTE Calculator'!$F:$F,"phone"))</f>
        <v>0</v>
      </c>
      <c r="AD43" s="27">
        <f>IF(AD$39&lt;DATE(2026,3,1),SUMIFS('FTE Calculator'!$AM:$AM,'FTE Calculator'!$A:$A,AD$39,'FTE Calculator'!$C:$C,"EMGLine",'FTE Calculator'!$F:$F,"phone"),SUMIFS('FTE Calculator'!$AP:$AP,'FTE Calculator'!$A:$A,AD$39,'FTE Calculator'!$C:$C,"EMGLine",'FTE Calculator'!$F:$F,"phone"))</f>
        <v>0</v>
      </c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</row>
    <row r="44" spans="1:700" x14ac:dyDescent="0.25">
      <c r="A44" s="17" t="s">
        <v>37</v>
      </c>
      <c r="B44" s="18" t="s">
        <v>92</v>
      </c>
      <c r="C44" s="20">
        <f>IF(C$39&lt;DATE(2026,3,1),SUMIFS('FTE Calculator'!$AM:$AM,'FTE Calculator'!$A:$A,C$39,'FTE Calculator'!$C:$C,"Hotline",'FTE Calculator'!$F:$F,"phone"),SUMIFS('FTE Calculator'!$AP:$AP,'FTE Calculator'!$A:$A,C$39,'FTE Calculator'!$C:$C,"Hotline",'FTE Calculator'!$F:$F,"phone"))</f>
        <v>0</v>
      </c>
      <c r="D44" s="20">
        <f>IF(D$39&lt;DATE(2026,3,1),SUMIFS('FTE Calculator'!$AM:$AM,'FTE Calculator'!$A:$A,D$39,'FTE Calculator'!$C:$C,"Hotline",'FTE Calculator'!$F:$F,"phone"),SUMIFS('FTE Calculator'!$AP:$AP,'FTE Calculator'!$A:$A,D$39,'FTE Calculator'!$C:$C,"Hotline",'FTE Calculator'!$F:$F,"phone"))</f>
        <v>0</v>
      </c>
      <c r="E44" s="20">
        <f>IF(E$39&lt;DATE(2026,3,1),SUMIFS('FTE Calculator'!$AM:$AM,'FTE Calculator'!$A:$A,E$39,'FTE Calculator'!$C:$C,"Hotline",'FTE Calculator'!$F:$F,"phone"),SUMIFS('FTE Calculator'!$AP:$AP,'FTE Calculator'!$A:$A,E$39,'FTE Calculator'!$C:$C,"Hotline",'FTE Calculator'!$F:$F,"phone"))</f>
        <v>0</v>
      </c>
      <c r="F44" s="20">
        <f>IF(F$39&lt;DATE(2026,3,1),SUMIFS('FTE Calculator'!$AM:$AM,'FTE Calculator'!$A:$A,F$39,'FTE Calculator'!$C:$C,"Hotline",'FTE Calculator'!$F:$F,"phone"),SUMIFS('FTE Calculator'!$AP:$AP,'FTE Calculator'!$A:$A,F$39,'FTE Calculator'!$C:$C,"Hotline",'FTE Calculator'!$F:$F,"phone"))</f>
        <v>0</v>
      </c>
      <c r="G44" s="20">
        <f>IF(G$39&lt;DATE(2026,3,1),SUMIFS('FTE Calculator'!$AM:$AM,'FTE Calculator'!$A:$A,G$39,'FTE Calculator'!$C:$C,"Hotline",'FTE Calculator'!$F:$F,"phone"),SUMIFS('FTE Calculator'!$AP:$AP,'FTE Calculator'!$A:$A,G$39,'FTE Calculator'!$C:$C,"Hotline",'FTE Calculator'!$F:$F,"phone"))</f>
        <v>0</v>
      </c>
      <c r="H44" s="20">
        <f>IF(H$39&lt;DATE(2026,3,1),SUMIFS('FTE Calculator'!$AM:$AM,'FTE Calculator'!$A:$A,H$39,'FTE Calculator'!$C:$C,"Hotline",'FTE Calculator'!$F:$F,"phone"),SUMIFS('FTE Calculator'!$AP:$AP,'FTE Calculator'!$A:$A,H$39,'FTE Calculator'!$C:$C,"Hotline",'FTE Calculator'!$F:$F,"phone"))</f>
        <v>0</v>
      </c>
      <c r="I44" s="20">
        <f>IF(I$39&lt;DATE(2026,3,1),SUMIFS('FTE Calculator'!$AM:$AM,'FTE Calculator'!$A:$A,I$39,'FTE Calculator'!$C:$C,"Hotline",'FTE Calculator'!$F:$F,"phone"),SUMIFS('FTE Calculator'!$AP:$AP,'FTE Calculator'!$A:$A,I$39,'FTE Calculator'!$C:$C,"Hotline",'FTE Calculator'!$F:$F,"phone"))</f>
        <v>0</v>
      </c>
      <c r="J44" s="20">
        <f>IF(J$39&lt;DATE(2026,3,1),SUMIFS('FTE Calculator'!$AM:$AM,'FTE Calculator'!$A:$A,J$39,'FTE Calculator'!$C:$C,"Hotline",'FTE Calculator'!$F:$F,"phone"),SUMIFS('FTE Calculator'!$AP:$AP,'FTE Calculator'!$A:$A,J$39,'FTE Calculator'!$C:$C,"Hotline",'FTE Calculator'!$F:$F,"phone"))</f>
        <v>0</v>
      </c>
      <c r="K44" s="20">
        <f>IF(K$39&lt;DATE(2026,3,1),SUMIFS('FTE Calculator'!$AM:$AM,'FTE Calculator'!$A:$A,K$39,'FTE Calculator'!$C:$C,"Hotline",'FTE Calculator'!$F:$F,"phone"),SUMIFS('FTE Calculator'!$AP:$AP,'FTE Calculator'!$A:$A,K$39,'FTE Calculator'!$C:$C,"Hotline",'FTE Calculator'!$F:$F,"phone"))</f>
        <v>0</v>
      </c>
      <c r="L44" s="20">
        <f>IF(L$39&lt;DATE(2026,3,1),SUMIFS('FTE Calculator'!$AM:$AM,'FTE Calculator'!$A:$A,L$39,'FTE Calculator'!$C:$C,"Hotline",'FTE Calculator'!$F:$F,"phone"),SUMIFS('FTE Calculator'!$AP:$AP,'FTE Calculator'!$A:$A,L$39,'FTE Calculator'!$C:$C,"Hotline",'FTE Calculator'!$F:$F,"phone"))</f>
        <v>0</v>
      </c>
      <c r="M44" s="20">
        <f>IF(M$39&lt;DATE(2026,3,1),SUMIFS('FTE Calculator'!$AM:$AM,'FTE Calculator'!$A:$A,M$39,'FTE Calculator'!$C:$C,"Hotline",'FTE Calculator'!$F:$F,"phone"),SUMIFS('FTE Calculator'!$AP:$AP,'FTE Calculator'!$A:$A,M$39,'FTE Calculator'!$C:$C,"Hotline",'FTE Calculator'!$F:$F,"phone"))</f>
        <v>0</v>
      </c>
      <c r="N44" s="20">
        <f>IF(N$39&lt;DATE(2026,3,1),SUMIFS('FTE Calculator'!$AM:$AM,'FTE Calculator'!$A:$A,N$39,'FTE Calculator'!$C:$C,"Hotline",'FTE Calculator'!$F:$F,"phone"),SUMIFS('FTE Calculator'!$AP:$AP,'FTE Calculator'!$A:$A,N$39,'FTE Calculator'!$C:$C,"Hotline",'FTE Calculator'!$F:$F,"phone"))</f>
        <v>0</v>
      </c>
      <c r="O44" s="28">
        <f t="shared" si="12"/>
        <v>0</v>
      </c>
      <c r="P44" s="20">
        <f>IF(P$39&lt;DATE(2026,3,1),SUMIFS('FTE Calculator'!$AM:$AM,'FTE Calculator'!$A:$A,P$39,'FTE Calculator'!$C:$C,"Hotline",'FTE Calculator'!$F:$F,"phone"),SUMIFS('FTE Calculator'!$AP:$AP,'FTE Calculator'!$A:$A,P$39,'FTE Calculator'!$C:$C,"Hotline",'FTE Calculator'!$F:$F,"phone"))</f>
        <v>0</v>
      </c>
      <c r="Q44" s="20">
        <f>IF(Q$39&lt;DATE(2026,3,1),SUMIFS('FTE Calculator'!$AM:$AM,'FTE Calculator'!$A:$A,Q$39,'FTE Calculator'!$C:$C,"Hotline",'FTE Calculator'!$F:$F,"phone"),SUMIFS('FTE Calculator'!$AP:$AP,'FTE Calculator'!$A:$A,Q$39,'FTE Calculator'!$C:$C,"Hotline",'FTE Calculator'!$F:$F,"phone"))</f>
        <v>0</v>
      </c>
      <c r="R44" s="20">
        <f>IF(R$39&lt;DATE(2026,3,1),SUMIFS('FTE Calculator'!$AM:$AM,'FTE Calculator'!$A:$A,R$39,'FTE Calculator'!$C:$C,"Hotline",'FTE Calculator'!$F:$F,"phone"),SUMIFS('FTE Calculator'!$AP:$AP,'FTE Calculator'!$A:$A,R$39,'FTE Calculator'!$C:$C,"Hotline",'FTE Calculator'!$F:$F,"phone"))</f>
        <v>0</v>
      </c>
      <c r="S44" s="20">
        <f>IF(S$39&lt;DATE(2026,3,1),SUMIFS('FTE Calculator'!$AM:$AM,'FTE Calculator'!$A:$A,S$39,'FTE Calculator'!$C:$C,"Hotline",'FTE Calculator'!$F:$F,"phone"),SUMIFS('FTE Calculator'!$AP:$AP,'FTE Calculator'!$A:$A,S$39,'FTE Calculator'!$C:$C,"Hotline",'FTE Calculator'!$F:$F,"phone"))</f>
        <v>0</v>
      </c>
      <c r="T44" s="20">
        <f>IF(T$39&lt;DATE(2026,3,1),SUMIFS('FTE Calculator'!$AM:$AM,'FTE Calculator'!$A:$A,T$39,'FTE Calculator'!$C:$C,"Hotline",'FTE Calculator'!$F:$F,"phone"),SUMIFS('FTE Calculator'!$AP:$AP,'FTE Calculator'!$A:$A,T$39,'FTE Calculator'!$C:$C,"Hotline",'FTE Calculator'!$F:$F,"phone"))</f>
        <v>0</v>
      </c>
      <c r="U44" s="20">
        <f>IF(U$39&lt;DATE(2026,3,1),SUMIFS('FTE Calculator'!$AM:$AM,'FTE Calculator'!$A:$A,U$39,'FTE Calculator'!$C:$C,"Hotline",'FTE Calculator'!$F:$F,"phone"),SUMIFS('FTE Calculator'!$AP:$AP,'FTE Calculator'!$A:$A,U$39,'FTE Calculator'!$C:$C,"Hotline",'FTE Calculator'!$F:$F,"phone"))</f>
        <v>0</v>
      </c>
      <c r="V44" s="20">
        <f>IF(V$39&lt;DATE(2026,3,1),SUMIFS('FTE Calculator'!$AM:$AM,'FTE Calculator'!$A:$A,V$39,'FTE Calculator'!$C:$C,"Hotline",'FTE Calculator'!$F:$F,"phone"),SUMIFS('FTE Calculator'!$AP:$AP,'FTE Calculator'!$A:$A,V$39,'FTE Calculator'!$C:$C,"Hotline",'FTE Calculator'!$F:$F,"phone"))</f>
        <v>0</v>
      </c>
      <c r="W44" s="20">
        <f>IF(W$39&lt;DATE(2026,3,1),SUMIFS('FTE Calculator'!$AM:$AM,'FTE Calculator'!$A:$A,W$39,'FTE Calculator'!$C:$C,"Hotline",'FTE Calculator'!$F:$F,"phone"),SUMIFS('FTE Calculator'!$AP:$AP,'FTE Calculator'!$A:$A,W$39,'FTE Calculator'!$C:$C,"Hotline",'FTE Calculator'!$F:$F,"phone"))</f>
        <v>0</v>
      </c>
      <c r="X44" s="20">
        <f>IF(X$39&lt;DATE(2026,3,1),SUMIFS('FTE Calculator'!$AM:$AM,'FTE Calculator'!$A:$A,X$39,'FTE Calculator'!$C:$C,"Hotline",'FTE Calculator'!$F:$F,"phone"),SUMIFS('FTE Calculator'!$AP:$AP,'FTE Calculator'!$A:$A,X$39,'FTE Calculator'!$C:$C,"Hotline",'FTE Calculator'!$F:$F,"phone"))</f>
        <v>0</v>
      </c>
      <c r="Y44" s="20">
        <f>IF(Y$39&lt;DATE(2026,3,1),SUMIFS('FTE Calculator'!$AM:$AM,'FTE Calculator'!$A:$A,Y$39,'FTE Calculator'!$C:$C,"Hotline",'FTE Calculator'!$F:$F,"phone"),SUMIFS('FTE Calculator'!$AP:$AP,'FTE Calculator'!$A:$A,Y$39,'FTE Calculator'!$C:$C,"Hotline",'FTE Calculator'!$F:$F,"phone"))</f>
        <v>0</v>
      </c>
      <c r="Z44" s="20">
        <f>IF(Z$39&lt;DATE(2026,3,1),SUMIFS('FTE Calculator'!$AM:$AM,'FTE Calculator'!$A:$A,Z$39,'FTE Calculator'!$C:$C,"Hotline",'FTE Calculator'!$F:$F,"phone"),SUMIFS('FTE Calculator'!$AP:$AP,'FTE Calculator'!$A:$A,Z$39,'FTE Calculator'!$C:$C,"Hotline",'FTE Calculator'!$F:$F,"phone"))</f>
        <v>0</v>
      </c>
      <c r="AA44" s="20">
        <f>IF(AA$39&lt;DATE(2026,3,1),SUMIFS('FTE Calculator'!$AM:$AM,'FTE Calculator'!$A:$A,AA$39,'FTE Calculator'!$C:$C,"Hotline",'FTE Calculator'!$F:$F,"phone"),SUMIFS('FTE Calculator'!$AP:$AP,'FTE Calculator'!$A:$A,AA$39,'FTE Calculator'!$C:$C,"Hotline",'FTE Calculator'!$F:$F,"phone"))</f>
        <v>0</v>
      </c>
      <c r="AB44" s="28">
        <f t="shared" si="13"/>
        <v>0</v>
      </c>
      <c r="AC44" s="20">
        <f>IF(AC$39&lt;DATE(2026,3,1),SUMIFS('FTE Calculator'!$AM:$AM,'FTE Calculator'!$A:$A,AC$39,'FTE Calculator'!$C:$C,"Hotline",'FTE Calculator'!$F:$F,"phone"),SUMIFS('FTE Calculator'!$AP:$AP,'FTE Calculator'!$A:$A,AC$39,'FTE Calculator'!$C:$C,"Hotline",'FTE Calculator'!$F:$F,"phone"))</f>
        <v>0</v>
      </c>
      <c r="AD44" s="20">
        <f>IF(AD$39&lt;DATE(2026,3,1),SUMIFS('FTE Calculator'!$AM:$AM,'FTE Calculator'!$A:$A,AD$39,'FTE Calculator'!$C:$C,"Hotline",'FTE Calculator'!$F:$F,"phone"),SUMIFS('FTE Calculator'!$AP:$AP,'FTE Calculator'!$A:$A,AD$39,'FTE Calculator'!$C:$C,"Hotline",'FTE Calculator'!$F:$F,"phone"))</f>
        <v>0</v>
      </c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</row>
    <row r="45" spans="1:700" x14ac:dyDescent="0.25">
      <c r="A45" s="23" t="s">
        <v>38</v>
      </c>
      <c r="B45" s="24" t="s">
        <v>92</v>
      </c>
      <c r="C45" s="27">
        <f>IF(C$39&lt;DATE(2026,3,1),SUMIFS('FTE Calculator'!$AM:$AM,'FTE Calculator'!$A:$A,C$39,'FTE Calculator'!$C:$C,"Matrix 1",'FTE Calculator'!$F:$F,"phone"),SUMIFS('FTE Calculator'!$AP:$AP,'FTE Calculator'!$A:$A,C$39,'FTE Calculator'!$C:$C,"Matrix 1",'FTE Calculator'!$F:$F,"phone"))</f>
        <v>7.14</v>
      </c>
      <c r="D45" s="27">
        <f>IF(D$39&lt;DATE(2026,3,1),SUMIFS('FTE Calculator'!$AM:$AM,'FTE Calculator'!$A:$A,D$39,'FTE Calculator'!$C:$C,"Matrix 1",'FTE Calculator'!$F:$F,"phone"),SUMIFS('FTE Calculator'!$AP:$AP,'FTE Calculator'!$A:$A,D$39,'FTE Calculator'!$C:$C,"Matrix 1",'FTE Calculator'!$F:$F,"phone"))</f>
        <v>5.31</v>
      </c>
      <c r="E45" s="27">
        <f>IF(E$39&lt;DATE(2026,3,1),SUMIFS('FTE Calculator'!$AM:$AM,'FTE Calculator'!$A:$A,E$39,'FTE Calculator'!$C:$C,"Matrix 1",'FTE Calculator'!$F:$F,"phone"),SUMIFS('FTE Calculator'!$AP:$AP,'FTE Calculator'!$A:$A,E$39,'FTE Calculator'!$C:$C,"Matrix 1",'FTE Calculator'!$F:$F,"phone"))</f>
        <v>5.95</v>
      </c>
      <c r="F45" s="27">
        <f>IF(F$39&lt;DATE(2026,3,1),SUMIFS('FTE Calculator'!$AM:$AM,'FTE Calculator'!$A:$A,F$39,'FTE Calculator'!$C:$C,"Matrix 1",'FTE Calculator'!$F:$F,"phone"),SUMIFS('FTE Calculator'!$AP:$AP,'FTE Calculator'!$A:$A,F$39,'FTE Calculator'!$C:$C,"Matrix 1",'FTE Calculator'!$F:$F,"phone"))</f>
        <v>4.46</v>
      </c>
      <c r="G45" s="27">
        <f>IF(G$39&lt;DATE(2026,3,1),SUMIFS('FTE Calculator'!$AM:$AM,'FTE Calculator'!$A:$A,G$39,'FTE Calculator'!$C:$C,"Matrix 1",'FTE Calculator'!$F:$F,"phone"),SUMIFS('FTE Calculator'!$AP:$AP,'FTE Calculator'!$A:$A,G$39,'FTE Calculator'!$C:$C,"Matrix 1",'FTE Calculator'!$F:$F,"phone"))</f>
        <v>5.38</v>
      </c>
      <c r="H45" s="27">
        <f>IF(H$39&lt;DATE(2026,3,1),SUMIFS('FTE Calculator'!$AM:$AM,'FTE Calculator'!$A:$A,H$39,'FTE Calculator'!$C:$C,"Matrix 1",'FTE Calculator'!$F:$F,"phone"),SUMIFS('FTE Calculator'!$AP:$AP,'FTE Calculator'!$A:$A,H$39,'FTE Calculator'!$C:$C,"Matrix 1",'FTE Calculator'!$F:$F,"phone"))</f>
        <v>4.99</v>
      </c>
      <c r="I45" s="27">
        <f>IF(I$39&lt;DATE(2026,3,1),SUMIFS('FTE Calculator'!$AM:$AM,'FTE Calculator'!$A:$A,I$39,'FTE Calculator'!$C:$C,"Matrix 1",'FTE Calculator'!$F:$F,"phone"),SUMIFS('FTE Calculator'!$AP:$AP,'FTE Calculator'!$A:$A,I$39,'FTE Calculator'!$C:$C,"Matrix 1",'FTE Calculator'!$F:$F,"phone"))</f>
        <v>5.74</v>
      </c>
      <c r="J45" s="27">
        <f>IF(J$39&lt;DATE(2026,3,1),SUMIFS('FTE Calculator'!$AM:$AM,'FTE Calculator'!$A:$A,J$39,'FTE Calculator'!$C:$C,"Matrix 1",'FTE Calculator'!$F:$F,"phone"),SUMIFS('FTE Calculator'!$AP:$AP,'FTE Calculator'!$A:$A,J$39,'FTE Calculator'!$C:$C,"Matrix 1",'FTE Calculator'!$F:$F,"phone"))</f>
        <v>4.8</v>
      </c>
      <c r="K45" s="27">
        <f>IF(K$39&lt;DATE(2026,3,1),SUMIFS('FTE Calculator'!$AM:$AM,'FTE Calculator'!$A:$A,K$39,'FTE Calculator'!$C:$C,"Matrix 1",'FTE Calculator'!$F:$F,"phone"),SUMIFS('FTE Calculator'!$AP:$AP,'FTE Calculator'!$A:$A,K$39,'FTE Calculator'!$C:$C,"Matrix 1",'FTE Calculator'!$F:$F,"phone"))</f>
        <v>4.29</v>
      </c>
      <c r="L45" s="27">
        <f>IF(L$39&lt;DATE(2026,3,1),SUMIFS('FTE Calculator'!$AM:$AM,'FTE Calculator'!$A:$A,L$39,'FTE Calculator'!$C:$C,"Matrix 1",'FTE Calculator'!$F:$F,"phone"),SUMIFS('FTE Calculator'!$AP:$AP,'FTE Calculator'!$A:$A,L$39,'FTE Calculator'!$C:$C,"Matrix 1",'FTE Calculator'!$F:$F,"phone"))</f>
        <v>4.29</v>
      </c>
      <c r="M45" s="27">
        <f>IF(M$39&lt;DATE(2026,3,1),SUMIFS('FTE Calculator'!$AM:$AM,'FTE Calculator'!$A:$A,M$39,'FTE Calculator'!$C:$C,"Matrix 1",'FTE Calculator'!$F:$F,"phone"),SUMIFS('FTE Calculator'!$AP:$AP,'FTE Calculator'!$A:$A,M$39,'FTE Calculator'!$C:$C,"Matrix 1",'FTE Calculator'!$F:$F,"phone"))</f>
        <v>4.33</v>
      </c>
      <c r="N45" s="27">
        <f>IF(N$39&lt;DATE(2026,3,1),SUMIFS('FTE Calculator'!$AM:$AM,'FTE Calculator'!$A:$A,N$39,'FTE Calculator'!$C:$C,"Matrix 1",'FTE Calculator'!$F:$F,"phone"),SUMIFS('FTE Calculator'!$AP:$AP,'FTE Calculator'!$A:$A,N$39,'FTE Calculator'!$C:$C,"Matrix 1",'FTE Calculator'!$F:$F,"phone"))</f>
        <v>3.27</v>
      </c>
      <c r="O45" s="28">
        <f t="shared" si="12"/>
        <v>4.9958333333333327</v>
      </c>
      <c r="P45" s="27">
        <f>IF(P$39&lt;DATE(2026,3,1),SUMIFS('FTE Calculator'!$AM:$AM,'FTE Calculator'!$A:$A,P$39,'FTE Calculator'!$C:$C,"Matrix 1",'FTE Calculator'!$F:$F,"phone"),SUMIFS('FTE Calculator'!$AP:$AP,'FTE Calculator'!$A:$A,P$39,'FTE Calculator'!$C:$C,"Matrix 1",'FTE Calculator'!$F:$F,"phone"))</f>
        <v>3.15</v>
      </c>
      <c r="Q45" s="27">
        <f>IF(Q$39&lt;DATE(2026,3,1),SUMIFS('FTE Calculator'!$AM:$AM,'FTE Calculator'!$A:$A,Q$39,'FTE Calculator'!$C:$C,"Matrix 1",'FTE Calculator'!$F:$F,"phone"),SUMIFS('FTE Calculator'!$AP:$AP,'FTE Calculator'!$A:$A,Q$39,'FTE Calculator'!$C:$C,"Matrix 1",'FTE Calculator'!$F:$F,"phone"))</f>
        <v>3.05</v>
      </c>
      <c r="R45" s="27">
        <f>IF(R$39&lt;DATE(2026,3,1),SUMIFS('FTE Calculator'!$AM:$AM,'FTE Calculator'!$A:$A,R$39,'FTE Calculator'!$C:$C,"Matrix 1",'FTE Calculator'!$F:$F,"phone"),SUMIFS('FTE Calculator'!$AP:$AP,'FTE Calculator'!$A:$A,R$39,'FTE Calculator'!$C:$C,"Matrix 1",'FTE Calculator'!$F:$F,"phone"))</f>
        <v>2.85</v>
      </c>
      <c r="S45" s="27">
        <f>IF(S$39&lt;DATE(2026,3,1),SUMIFS('FTE Calculator'!$AM:$AM,'FTE Calculator'!$A:$A,S$39,'FTE Calculator'!$C:$C,"Matrix 1",'FTE Calculator'!$F:$F,"phone"),SUMIFS('FTE Calculator'!$AP:$AP,'FTE Calculator'!$A:$A,S$39,'FTE Calculator'!$C:$C,"Matrix 1",'FTE Calculator'!$F:$F,"phone"))</f>
        <v>3.03</v>
      </c>
      <c r="T45" s="27">
        <f>IF(T$39&lt;DATE(2026,3,1),SUMIFS('FTE Calculator'!$AM:$AM,'FTE Calculator'!$A:$A,T$39,'FTE Calculator'!$C:$C,"Matrix 1",'FTE Calculator'!$F:$F,"phone"),SUMIFS('FTE Calculator'!$AP:$AP,'FTE Calculator'!$A:$A,T$39,'FTE Calculator'!$C:$C,"Matrix 1",'FTE Calculator'!$F:$F,"phone"))</f>
        <v>3.51</v>
      </c>
      <c r="U45" s="27">
        <f>IF(U$39&lt;DATE(2026,3,1),SUMIFS('FTE Calculator'!$AM:$AM,'FTE Calculator'!$A:$A,U$39,'FTE Calculator'!$C:$C,"Matrix 1",'FTE Calculator'!$F:$F,"phone"),SUMIFS('FTE Calculator'!$AP:$AP,'FTE Calculator'!$A:$A,U$39,'FTE Calculator'!$C:$C,"Matrix 1",'FTE Calculator'!$F:$F,"phone"))</f>
        <v>3.45</v>
      </c>
      <c r="V45" s="27">
        <f>IF(V$39&lt;DATE(2026,3,1),SUMIFS('FTE Calculator'!$AM:$AM,'FTE Calculator'!$A:$A,V$39,'FTE Calculator'!$C:$C,"Matrix 1",'FTE Calculator'!$F:$F,"phone"),SUMIFS('FTE Calculator'!$AP:$AP,'FTE Calculator'!$A:$A,V$39,'FTE Calculator'!$C:$C,"Matrix 1",'FTE Calculator'!$F:$F,"phone"))</f>
        <v>3.47</v>
      </c>
      <c r="W45" s="27">
        <f>IF(W$39&lt;DATE(2026,3,1),SUMIFS('FTE Calculator'!$AM:$AM,'FTE Calculator'!$A:$A,W$39,'FTE Calculator'!$C:$C,"Matrix 1",'FTE Calculator'!$F:$F,"phone"),SUMIFS('FTE Calculator'!$AP:$AP,'FTE Calculator'!$A:$A,W$39,'FTE Calculator'!$C:$C,"Matrix 1",'FTE Calculator'!$F:$F,"phone"))</f>
        <v>3.48</v>
      </c>
      <c r="X45" s="27">
        <f>IF(X$39&lt;DATE(2026,3,1),SUMIFS('FTE Calculator'!$AM:$AM,'FTE Calculator'!$A:$A,X$39,'FTE Calculator'!$C:$C,"Matrix 1",'FTE Calculator'!$F:$F,"phone"),SUMIFS('FTE Calculator'!$AP:$AP,'FTE Calculator'!$A:$A,X$39,'FTE Calculator'!$C:$C,"Matrix 1",'FTE Calculator'!$F:$F,"phone"))</f>
        <v>3.6</v>
      </c>
      <c r="Y45" s="27">
        <f>IF(Y$39&lt;DATE(2026,3,1),SUMIFS('FTE Calculator'!$AM:$AM,'FTE Calculator'!$A:$A,Y$39,'FTE Calculator'!$C:$C,"Matrix 1",'FTE Calculator'!$F:$F,"phone"),SUMIFS('FTE Calculator'!$AP:$AP,'FTE Calculator'!$A:$A,Y$39,'FTE Calculator'!$C:$C,"Matrix 1",'FTE Calculator'!$F:$F,"phone"))</f>
        <v>3.51</v>
      </c>
      <c r="Z45" s="27">
        <f>IF(Z$39&lt;DATE(2026,3,1),SUMIFS('FTE Calculator'!$AM:$AM,'FTE Calculator'!$A:$A,Z$39,'FTE Calculator'!$C:$C,"Matrix 1",'FTE Calculator'!$F:$F,"phone"),SUMIFS('FTE Calculator'!$AP:$AP,'FTE Calculator'!$A:$A,Z$39,'FTE Calculator'!$C:$C,"Matrix 1",'FTE Calculator'!$F:$F,"phone"))</f>
        <v>3.45</v>
      </c>
      <c r="AA45" s="27">
        <f>IF(AA$39&lt;DATE(2026,3,1),SUMIFS('FTE Calculator'!$AM:$AM,'FTE Calculator'!$A:$A,AA$39,'FTE Calculator'!$C:$C,"Matrix 1",'FTE Calculator'!$F:$F,"phone"),SUMIFS('FTE Calculator'!$AP:$AP,'FTE Calculator'!$A:$A,AA$39,'FTE Calculator'!$C:$C,"Matrix 1",'FTE Calculator'!$F:$F,"phone"))</f>
        <v>3.55</v>
      </c>
      <c r="AB45" s="28">
        <f t="shared" si="13"/>
        <v>3.3416666666666668</v>
      </c>
      <c r="AC45" s="27">
        <f>IF(AC$39&lt;DATE(2026,3,1),SUMIFS('FTE Calculator'!$AM:$AM,'FTE Calculator'!$A:$A,AC$39,'FTE Calculator'!$C:$C,"Matrix 1",'FTE Calculator'!$F:$F,"phone"),SUMIFS('FTE Calculator'!$AP:$AP,'FTE Calculator'!$A:$A,AC$39,'FTE Calculator'!$C:$C,"Matrix 1",'FTE Calculator'!$F:$F,"phone"))</f>
        <v>3.64</v>
      </c>
      <c r="AD45" s="27">
        <f>IF(AD$39&lt;DATE(2026,3,1),SUMIFS('FTE Calculator'!$AM:$AM,'FTE Calculator'!$A:$A,AD$39,'FTE Calculator'!$C:$C,"Matrix 1",'FTE Calculator'!$F:$F,"phone"),SUMIFS('FTE Calculator'!$AP:$AP,'FTE Calculator'!$A:$A,AD$39,'FTE Calculator'!$C:$C,"Matrix 1",'FTE Calculator'!$F:$F,"phone"))</f>
        <v>3.61</v>
      </c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</row>
    <row r="46" spans="1:700" x14ac:dyDescent="0.25">
      <c r="A46" s="17" t="s">
        <v>39</v>
      </c>
      <c r="B46" s="18" t="s">
        <v>92</v>
      </c>
      <c r="C46" s="20">
        <f>IF(C$39&lt;DATE(2026,3,1),SUMIFS('FTE Calculator'!$AM:$AM,'FTE Calculator'!$A:$A,C$39,'FTE Calculator'!$C:$C,"Matrix 2",'FTE Calculator'!$F:$F,"phone"),SUMIFS('FTE Calculator'!$AP:$AP,'FTE Calculator'!$A:$A,C$39,'FTE Calculator'!$C:$C,"Matrix 2",'FTE Calculator'!$F:$F,"phone"))</f>
        <v>0</v>
      </c>
      <c r="D46" s="20">
        <f>IF(D$39&lt;DATE(2026,3,1),SUMIFS('FTE Calculator'!$AM:$AM,'FTE Calculator'!$A:$A,D$39,'FTE Calculator'!$C:$C,"Matrix 2",'FTE Calculator'!$F:$F,"phone"),SUMIFS('FTE Calculator'!$AP:$AP,'FTE Calculator'!$A:$A,D$39,'FTE Calculator'!$C:$C,"Matrix 2",'FTE Calculator'!$F:$F,"phone"))</f>
        <v>0</v>
      </c>
      <c r="E46" s="20">
        <f>IF(E$39&lt;DATE(2026,3,1),SUMIFS('FTE Calculator'!$AM:$AM,'FTE Calculator'!$A:$A,E$39,'FTE Calculator'!$C:$C,"Matrix 2",'FTE Calculator'!$F:$F,"phone"),SUMIFS('FTE Calculator'!$AP:$AP,'FTE Calculator'!$A:$A,E$39,'FTE Calculator'!$C:$C,"Matrix 2",'FTE Calculator'!$F:$F,"phone"))</f>
        <v>0</v>
      </c>
      <c r="F46" s="20">
        <f>IF(F$39&lt;DATE(2026,3,1),SUMIFS('FTE Calculator'!$AM:$AM,'FTE Calculator'!$A:$A,F$39,'FTE Calculator'!$C:$C,"Matrix 2",'FTE Calculator'!$F:$F,"phone"),SUMIFS('FTE Calculator'!$AP:$AP,'FTE Calculator'!$A:$A,F$39,'FTE Calculator'!$C:$C,"Matrix 2",'FTE Calculator'!$F:$F,"phone"))</f>
        <v>0</v>
      </c>
      <c r="G46" s="20">
        <f>IF(G$39&lt;DATE(2026,3,1),SUMIFS('FTE Calculator'!$AM:$AM,'FTE Calculator'!$A:$A,G$39,'FTE Calculator'!$C:$C,"Matrix 2",'FTE Calculator'!$F:$F,"phone"),SUMIFS('FTE Calculator'!$AP:$AP,'FTE Calculator'!$A:$A,G$39,'FTE Calculator'!$C:$C,"Matrix 2",'FTE Calculator'!$F:$F,"phone"))</f>
        <v>0</v>
      </c>
      <c r="H46" s="20">
        <f>IF(H$39&lt;DATE(2026,3,1),SUMIFS('FTE Calculator'!$AM:$AM,'FTE Calculator'!$A:$A,H$39,'FTE Calculator'!$C:$C,"Matrix 2",'FTE Calculator'!$F:$F,"phone"),SUMIFS('FTE Calculator'!$AP:$AP,'FTE Calculator'!$A:$A,H$39,'FTE Calculator'!$C:$C,"Matrix 2",'FTE Calculator'!$F:$F,"phone"))</f>
        <v>0</v>
      </c>
      <c r="I46" s="20">
        <f>IF(I$39&lt;DATE(2026,3,1),SUMIFS('FTE Calculator'!$AM:$AM,'FTE Calculator'!$A:$A,I$39,'FTE Calculator'!$C:$C,"Matrix 2",'FTE Calculator'!$F:$F,"phone"),SUMIFS('FTE Calculator'!$AP:$AP,'FTE Calculator'!$A:$A,I$39,'FTE Calculator'!$C:$C,"Matrix 2",'FTE Calculator'!$F:$F,"phone"))</f>
        <v>0</v>
      </c>
      <c r="J46" s="20">
        <f>IF(J$39&lt;DATE(2026,3,1),SUMIFS('FTE Calculator'!$AM:$AM,'FTE Calculator'!$A:$A,J$39,'FTE Calculator'!$C:$C,"Matrix 2",'FTE Calculator'!$F:$F,"phone"),SUMIFS('FTE Calculator'!$AP:$AP,'FTE Calculator'!$A:$A,J$39,'FTE Calculator'!$C:$C,"Matrix 2",'FTE Calculator'!$F:$F,"phone"))</f>
        <v>0</v>
      </c>
      <c r="K46" s="20">
        <f>IF(K$39&lt;DATE(2026,3,1),SUMIFS('FTE Calculator'!$AM:$AM,'FTE Calculator'!$A:$A,K$39,'FTE Calculator'!$C:$C,"Matrix 2",'FTE Calculator'!$F:$F,"phone"),SUMIFS('FTE Calculator'!$AP:$AP,'FTE Calculator'!$A:$A,K$39,'FTE Calculator'!$C:$C,"Matrix 2",'FTE Calculator'!$F:$F,"phone"))</f>
        <v>0</v>
      </c>
      <c r="L46" s="20">
        <f>IF(L$39&lt;DATE(2026,3,1),SUMIFS('FTE Calculator'!$AM:$AM,'FTE Calculator'!$A:$A,L$39,'FTE Calculator'!$C:$C,"Matrix 2",'FTE Calculator'!$F:$F,"phone"),SUMIFS('FTE Calculator'!$AP:$AP,'FTE Calculator'!$A:$A,L$39,'FTE Calculator'!$C:$C,"Matrix 2",'FTE Calculator'!$F:$F,"phone"))</f>
        <v>0</v>
      </c>
      <c r="M46" s="20">
        <f>IF(M$39&lt;DATE(2026,3,1),SUMIFS('FTE Calculator'!$AM:$AM,'FTE Calculator'!$A:$A,M$39,'FTE Calculator'!$C:$C,"Matrix 2",'FTE Calculator'!$F:$F,"phone"),SUMIFS('FTE Calculator'!$AP:$AP,'FTE Calculator'!$A:$A,M$39,'FTE Calculator'!$C:$C,"Matrix 2",'FTE Calculator'!$F:$F,"phone"))</f>
        <v>0</v>
      </c>
      <c r="N46" s="20">
        <f>IF(N$39&lt;DATE(2026,3,1),SUMIFS('FTE Calculator'!$AM:$AM,'FTE Calculator'!$A:$A,N$39,'FTE Calculator'!$C:$C,"Matrix 2",'FTE Calculator'!$F:$F,"phone"),SUMIFS('FTE Calculator'!$AP:$AP,'FTE Calculator'!$A:$A,N$39,'FTE Calculator'!$C:$C,"Matrix 2",'FTE Calculator'!$F:$F,"phone"))</f>
        <v>0</v>
      </c>
      <c r="O46" s="28">
        <f t="shared" si="12"/>
        <v>0</v>
      </c>
      <c r="P46" s="20">
        <f>IF(P$39&lt;DATE(2026,3,1),SUMIFS('FTE Calculator'!$AM:$AM,'FTE Calculator'!$A:$A,P$39,'FTE Calculator'!$C:$C,"Matrix 2",'FTE Calculator'!$F:$F,"phone"),SUMIFS('FTE Calculator'!$AP:$AP,'FTE Calculator'!$A:$A,P$39,'FTE Calculator'!$C:$C,"Matrix 2",'FTE Calculator'!$F:$F,"phone"))</f>
        <v>0</v>
      </c>
      <c r="Q46" s="20">
        <f>IF(Q$39&lt;DATE(2026,3,1),SUMIFS('FTE Calculator'!$AM:$AM,'FTE Calculator'!$A:$A,Q$39,'FTE Calculator'!$C:$C,"Matrix 2",'FTE Calculator'!$F:$F,"phone"),SUMIFS('FTE Calculator'!$AP:$AP,'FTE Calculator'!$A:$A,Q$39,'FTE Calculator'!$C:$C,"Matrix 2",'FTE Calculator'!$F:$F,"phone"))</f>
        <v>0</v>
      </c>
      <c r="R46" s="20">
        <f>IF(R$39&lt;DATE(2026,3,1),SUMIFS('FTE Calculator'!$AM:$AM,'FTE Calculator'!$A:$A,R$39,'FTE Calculator'!$C:$C,"Matrix 2",'FTE Calculator'!$F:$F,"phone"),SUMIFS('FTE Calculator'!$AP:$AP,'FTE Calculator'!$A:$A,R$39,'FTE Calculator'!$C:$C,"Matrix 2",'FTE Calculator'!$F:$F,"phone"))</f>
        <v>0</v>
      </c>
      <c r="S46" s="20">
        <f>IF(S$39&lt;DATE(2026,3,1),SUMIFS('FTE Calculator'!$AM:$AM,'FTE Calculator'!$A:$A,S$39,'FTE Calculator'!$C:$C,"Matrix 2",'FTE Calculator'!$F:$F,"phone"),SUMIFS('FTE Calculator'!$AP:$AP,'FTE Calculator'!$A:$A,S$39,'FTE Calculator'!$C:$C,"Matrix 2",'FTE Calculator'!$F:$F,"phone"))</f>
        <v>0</v>
      </c>
      <c r="T46" s="20">
        <f>IF(T$39&lt;DATE(2026,3,1),SUMIFS('FTE Calculator'!$AM:$AM,'FTE Calculator'!$A:$A,T$39,'FTE Calculator'!$C:$C,"Matrix 2",'FTE Calculator'!$F:$F,"phone"),SUMIFS('FTE Calculator'!$AP:$AP,'FTE Calculator'!$A:$A,T$39,'FTE Calculator'!$C:$C,"Matrix 2",'FTE Calculator'!$F:$F,"phone"))</f>
        <v>0</v>
      </c>
      <c r="U46" s="20">
        <f>IF(U$39&lt;DATE(2026,3,1),SUMIFS('FTE Calculator'!$AM:$AM,'FTE Calculator'!$A:$A,U$39,'FTE Calculator'!$C:$C,"Matrix 2",'FTE Calculator'!$F:$F,"phone"),SUMIFS('FTE Calculator'!$AP:$AP,'FTE Calculator'!$A:$A,U$39,'FTE Calculator'!$C:$C,"Matrix 2",'FTE Calculator'!$F:$F,"phone"))</f>
        <v>0</v>
      </c>
      <c r="V46" s="20">
        <f>IF(V$39&lt;DATE(2026,3,1),SUMIFS('FTE Calculator'!$AM:$AM,'FTE Calculator'!$A:$A,V$39,'FTE Calculator'!$C:$C,"Matrix 2",'FTE Calculator'!$F:$F,"phone"),SUMIFS('FTE Calculator'!$AP:$AP,'FTE Calculator'!$A:$A,V$39,'FTE Calculator'!$C:$C,"Matrix 2",'FTE Calculator'!$F:$F,"phone"))</f>
        <v>0</v>
      </c>
      <c r="W46" s="20">
        <f>IF(W$39&lt;DATE(2026,3,1),SUMIFS('FTE Calculator'!$AM:$AM,'FTE Calculator'!$A:$A,W$39,'FTE Calculator'!$C:$C,"Matrix 2",'FTE Calculator'!$F:$F,"phone"),SUMIFS('FTE Calculator'!$AP:$AP,'FTE Calculator'!$A:$A,W$39,'FTE Calculator'!$C:$C,"Matrix 2",'FTE Calculator'!$F:$F,"phone"))</f>
        <v>0</v>
      </c>
      <c r="X46" s="20">
        <f>IF(X$39&lt;DATE(2026,3,1),SUMIFS('FTE Calculator'!$AM:$AM,'FTE Calculator'!$A:$A,X$39,'FTE Calculator'!$C:$C,"Matrix 2",'FTE Calculator'!$F:$F,"phone"),SUMIFS('FTE Calculator'!$AP:$AP,'FTE Calculator'!$A:$A,X$39,'FTE Calculator'!$C:$C,"Matrix 2",'FTE Calculator'!$F:$F,"phone"))</f>
        <v>0</v>
      </c>
      <c r="Y46" s="20">
        <f>IF(Y$39&lt;DATE(2026,3,1),SUMIFS('FTE Calculator'!$AM:$AM,'FTE Calculator'!$A:$A,Y$39,'FTE Calculator'!$C:$C,"Matrix 2",'FTE Calculator'!$F:$F,"phone"),SUMIFS('FTE Calculator'!$AP:$AP,'FTE Calculator'!$A:$A,Y$39,'FTE Calculator'!$C:$C,"Matrix 2",'FTE Calculator'!$F:$F,"phone"))</f>
        <v>0</v>
      </c>
      <c r="Z46" s="20">
        <f>IF(Z$39&lt;DATE(2026,3,1),SUMIFS('FTE Calculator'!$AM:$AM,'FTE Calculator'!$A:$A,Z$39,'FTE Calculator'!$C:$C,"Matrix 2",'FTE Calculator'!$F:$F,"phone"),SUMIFS('FTE Calculator'!$AP:$AP,'FTE Calculator'!$A:$A,Z$39,'FTE Calculator'!$C:$C,"Matrix 2",'FTE Calculator'!$F:$F,"phone"))</f>
        <v>0</v>
      </c>
      <c r="AA46" s="20">
        <f>IF(AA$39&lt;DATE(2026,3,1),SUMIFS('FTE Calculator'!$AM:$AM,'FTE Calculator'!$A:$A,AA$39,'FTE Calculator'!$C:$C,"Matrix 2",'FTE Calculator'!$F:$F,"phone"),SUMIFS('FTE Calculator'!$AP:$AP,'FTE Calculator'!$A:$A,AA$39,'FTE Calculator'!$C:$C,"Matrix 2",'FTE Calculator'!$F:$F,"phone"))</f>
        <v>0</v>
      </c>
      <c r="AB46" s="28">
        <f t="shared" si="13"/>
        <v>0</v>
      </c>
      <c r="AC46" s="20">
        <f>IF(AC$39&lt;DATE(2026,3,1),SUMIFS('FTE Calculator'!$AM:$AM,'FTE Calculator'!$A:$A,AC$39,'FTE Calculator'!$C:$C,"Matrix 2",'FTE Calculator'!$F:$F,"phone"),SUMIFS('FTE Calculator'!$AP:$AP,'FTE Calculator'!$A:$A,AC$39,'FTE Calculator'!$C:$C,"Matrix 2",'FTE Calculator'!$F:$F,"phone"))</f>
        <v>0</v>
      </c>
      <c r="AD46" s="20">
        <f>IF(AD$39&lt;DATE(2026,3,1),SUMIFS('FTE Calculator'!$AM:$AM,'FTE Calculator'!$A:$A,AD$39,'FTE Calculator'!$C:$C,"Matrix 2",'FTE Calculator'!$F:$F,"phone"),SUMIFS('FTE Calculator'!$AP:$AP,'FTE Calculator'!$A:$A,AD$39,'FTE Calculator'!$C:$C,"Matrix 2",'FTE Calculator'!$F:$F,"phone"))</f>
        <v>0</v>
      </c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</row>
    <row r="47" spans="1:700" x14ac:dyDescent="0.25">
      <c r="A47" s="23" t="s">
        <v>40</v>
      </c>
      <c r="B47" s="24" t="s">
        <v>92</v>
      </c>
      <c r="C47" s="27">
        <f>IF(C$39&lt;DATE(2026,3,1),SUMIFS('FTE Calculator'!$AM:$AM,'FTE Calculator'!$A:$A,C$39,'FTE Calculator'!$C:$C,"Matrix SP1",'FTE Calculator'!$F:$F,"phone"),SUMIFS('FTE Calculator'!$AP:$AP,'FTE Calculator'!$A:$A,C$39,'FTE Calculator'!$C:$C,"Matrix SP1",'FTE Calculator'!$F:$F,"phone"))</f>
        <v>0.13</v>
      </c>
      <c r="D47" s="27">
        <f>IF(D$39&lt;DATE(2026,3,1),SUMIFS('FTE Calculator'!$AM:$AM,'FTE Calculator'!$A:$A,D$39,'FTE Calculator'!$C:$C,"Matrix SP1",'FTE Calculator'!$F:$F,"phone"),SUMIFS('FTE Calculator'!$AP:$AP,'FTE Calculator'!$A:$A,D$39,'FTE Calculator'!$C:$C,"Matrix SP1",'FTE Calculator'!$F:$F,"phone"))</f>
        <v>0.1</v>
      </c>
      <c r="E47" s="27">
        <f>IF(E$39&lt;DATE(2026,3,1),SUMIFS('FTE Calculator'!$AM:$AM,'FTE Calculator'!$A:$A,E$39,'FTE Calculator'!$C:$C,"Matrix SP1",'FTE Calculator'!$F:$F,"phone"),SUMIFS('FTE Calculator'!$AP:$AP,'FTE Calculator'!$A:$A,E$39,'FTE Calculator'!$C:$C,"Matrix SP1",'FTE Calculator'!$F:$F,"phone"))</f>
        <v>0.11</v>
      </c>
      <c r="F47" s="27">
        <f>IF(F$39&lt;DATE(2026,3,1),SUMIFS('FTE Calculator'!$AM:$AM,'FTE Calculator'!$A:$A,F$39,'FTE Calculator'!$C:$C,"Matrix SP1",'FTE Calculator'!$F:$F,"phone"),SUMIFS('FTE Calculator'!$AP:$AP,'FTE Calculator'!$A:$A,F$39,'FTE Calculator'!$C:$C,"Matrix SP1",'FTE Calculator'!$F:$F,"phone"))</f>
        <v>0.1</v>
      </c>
      <c r="G47" s="27">
        <f>IF(G$39&lt;DATE(2026,3,1),SUMIFS('FTE Calculator'!$AM:$AM,'FTE Calculator'!$A:$A,G$39,'FTE Calculator'!$C:$C,"Matrix SP1",'FTE Calculator'!$F:$F,"phone"),SUMIFS('FTE Calculator'!$AP:$AP,'FTE Calculator'!$A:$A,G$39,'FTE Calculator'!$C:$C,"Matrix SP1",'FTE Calculator'!$F:$F,"phone"))</f>
        <v>0.11</v>
      </c>
      <c r="H47" s="27">
        <f>IF(H$39&lt;DATE(2026,3,1),SUMIFS('FTE Calculator'!$AM:$AM,'FTE Calculator'!$A:$A,H$39,'FTE Calculator'!$C:$C,"Matrix SP1",'FTE Calculator'!$F:$F,"phone"),SUMIFS('FTE Calculator'!$AP:$AP,'FTE Calculator'!$A:$A,H$39,'FTE Calculator'!$C:$C,"Matrix SP1",'FTE Calculator'!$F:$F,"phone"))</f>
        <v>0.18</v>
      </c>
      <c r="I47" s="27">
        <f>IF(I$39&lt;DATE(2026,3,1),SUMIFS('FTE Calculator'!$AM:$AM,'FTE Calculator'!$A:$A,I$39,'FTE Calculator'!$C:$C,"Matrix SP1",'FTE Calculator'!$F:$F,"phone"),SUMIFS('FTE Calculator'!$AP:$AP,'FTE Calculator'!$A:$A,I$39,'FTE Calculator'!$C:$C,"Matrix SP1",'FTE Calculator'!$F:$F,"phone"))</f>
        <v>0.1</v>
      </c>
      <c r="J47" s="27">
        <f>IF(J$39&lt;DATE(2026,3,1),SUMIFS('FTE Calculator'!$AM:$AM,'FTE Calculator'!$A:$A,J$39,'FTE Calculator'!$C:$C,"Matrix SP1",'FTE Calculator'!$F:$F,"phone"),SUMIFS('FTE Calculator'!$AP:$AP,'FTE Calculator'!$A:$A,J$39,'FTE Calculator'!$C:$C,"Matrix SP1",'FTE Calculator'!$F:$F,"phone"))</f>
        <v>0.11</v>
      </c>
      <c r="K47" s="27">
        <f>IF(K$39&lt;DATE(2026,3,1),SUMIFS('FTE Calculator'!$AM:$AM,'FTE Calculator'!$A:$A,K$39,'FTE Calculator'!$C:$C,"Matrix SP1",'FTE Calculator'!$F:$F,"phone"),SUMIFS('FTE Calculator'!$AP:$AP,'FTE Calculator'!$A:$A,K$39,'FTE Calculator'!$C:$C,"Matrix SP1",'FTE Calculator'!$F:$F,"phone"))</f>
        <v>0.09</v>
      </c>
      <c r="L47" s="27">
        <f>IF(L$39&lt;DATE(2026,3,1),SUMIFS('FTE Calculator'!$AM:$AM,'FTE Calculator'!$A:$A,L$39,'FTE Calculator'!$C:$C,"Matrix SP1",'FTE Calculator'!$F:$F,"phone"),SUMIFS('FTE Calculator'!$AP:$AP,'FTE Calculator'!$A:$A,L$39,'FTE Calculator'!$C:$C,"Matrix SP1",'FTE Calculator'!$F:$F,"phone"))</f>
        <v>0.11</v>
      </c>
      <c r="M47" s="27">
        <f>IF(M$39&lt;DATE(2026,3,1),SUMIFS('FTE Calculator'!$AM:$AM,'FTE Calculator'!$A:$A,M$39,'FTE Calculator'!$C:$C,"Matrix SP1",'FTE Calculator'!$F:$F,"phone"),SUMIFS('FTE Calculator'!$AP:$AP,'FTE Calculator'!$A:$A,M$39,'FTE Calculator'!$C:$C,"Matrix SP1",'FTE Calculator'!$F:$F,"phone"))</f>
        <v>0.11</v>
      </c>
      <c r="N47" s="27">
        <f>IF(N$39&lt;DATE(2026,3,1),SUMIFS('FTE Calculator'!$AM:$AM,'FTE Calculator'!$A:$A,N$39,'FTE Calculator'!$C:$C,"Matrix SP1",'FTE Calculator'!$F:$F,"phone"),SUMIFS('FTE Calculator'!$AP:$AP,'FTE Calculator'!$A:$A,N$39,'FTE Calculator'!$C:$C,"Matrix SP1",'FTE Calculator'!$F:$F,"phone"))</f>
        <v>7.0000000000000007E-2</v>
      </c>
      <c r="O47" s="28">
        <f t="shared" si="12"/>
        <v>0.11000000000000003</v>
      </c>
      <c r="P47" s="27">
        <f>IF(P$39&lt;DATE(2026,3,1),SUMIFS('FTE Calculator'!$AM:$AM,'FTE Calculator'!$A:$A,P$39,'FTE Calculator'!$C:$C,"Matrix SP1",'FTE Calculator'!$F:$F,"phone"),SUMIFS('FTE Calculator'!$AP:$AP,'FTE Calculator'!$A:$A,P$39,'FTE Calculator'!$C:$C,"Matrix SP1",'FTE Calculator'!$F:$F,"phone"))</f>
        <v>0.08</v>
      </c>
      <c r="Q47" s="27">
        <f>IF(Q$39&lt;DATE(2026,3,1),SUMIFS('FTE Calculator'!$AM:$AM,'FTE Calculator'!$A:$A,Q$39,'FTE Calculator'!$C:$C,"Matrix SP1",'FTE Calculator'!$F:$F,"phone"),SUMIFS('FTE Calculator'!$AP:$AP,'FTE Calculator'!$A:$A,Q$39,'FTE Calculator'!$C:$C,"Matrix SP1",'FTE Calculator'!$F:$F,"phone"))</f>
        <v>0.08</v>
      </c>
      <c r="R47" s="27">
        <f>IF(R$39&lt;DATE(2026,3,1),SUMIFS('FTE Calculator'!$AM:$AM,'FTE Calculator'!$A:$A,R$39,'FTE Calculator'!$C:$C,"Matrix SP1",'FTE Calculator'!$F:$F,"phone"),SUMIFS('FTE Calculator'!$AP:$AP,'FTE Calculator'!$A:$A,R$39,'FTE Calculator'!$C:$C,"Matrix SP1",'FTE Calculator'!$F:$F,"phone"))</f>
        <v>0.09</v>
      </c>
      <c r="S47" s="27">
        <f>IF(S$39&lt;DATE(2026,3,1),SUMIFS('FTE Calculator'!$AM:$AM,'FTE Calculator'!$A:$A,S$39,'FTE Calculator'!$C:$C,"Matrix SP1",'FTE Calculator'!$F:$F,"phone"),SUMIFS('FTE Calculator'!$AP:$AP,'FTE Calculator'!$A:$A,S$39,'FTE Calculator'!$C:$C,"Matrix SP1",'FTE Calculator'!$F:$F,"phone"))</f>
        <v>0.08</v>
      </c>
      <c r="T47" s="27">
        <f>IF(T$39&lt;DATE(2026,3,1),SUMIFS('FTE Calculator'!$AM:$AM,'FTE Calculator'!$A:$A,T$39,'FTE Calculator'!$C:$C,"Matrix SP1",'FTE Calculator'!$F:$F,"phone"),SUMIFS('FTE Calculator'!$AP:$AP,'FTE Calculator'!$A:$A,T$39,'FTE Calculator'!$C:$C,"Matrix SP1",'FTE Calculator'!$F:$F,"phone"))</f>
        <v>0.09</v>
      </c>
      <c r="U47" s="27">
        <f>IF(U$39&lt;DATE(2026,3,1),SUMIFS('FTE Calculator'!$AM:$AM,'FTE Calculator'!$A:$A,U$39,'FTE Calculator'!$C:$C,"Matrix SP1",'FTE Calculator'!$F:$F,"phone"),SUMIFS('FTE Calculator'!$AP:$AP,'FTE Calculator'!$A:$A,U$39,'FTE Calculator'!$C:$C,"Matrix SP1",'FTE Calculator'!$F:$F,"phone"))</f>
        <v>0.08</v>
      </c>
      <c r="V47" s="27">
        <f>IF(V$39&lt;DATE(2026,3,1),SUMIFS('FTE Calculator'!$AM:$AM,'FTE Calculator'!$A:$A,V$39,'FTE Calculator'!$C:$C,"Matrix SP1",'FTE Calculator'!$F:$F,"phone"),SUMIFS('FTE Calculator'!$AP:$AP,'FTE Calculator'!$A:$A,V$39,'FTE Calculator'!$C:$C,"Matrix SP1",'FTE Calculator'!$F:$F,"phone"))</f>
        <v>0.08</v>
      </c>
      <c r="W47" s="27">
        <f>IF(W$39&lt;DATE(2026,3,1),SUMIFS('FTE Calculator'!$AM:$AM,'FTE Calculator'!$A:$A,W$39,'FTE Calculator'!$C:$C,"Matrix SP1",'FTE Calculator'!$F:$F,"phone"),SUMIFS('FTE Calculator'!$AP:$AP,'FTE Calculator'!$A:$A,W$39,'FTE Calculator'!$C:$C,"Matrix SP1",'FTE Calculator'!$F:$F,"phone"))</f>
        <v>0.09</v>
      </c>
      <c r="X47" s="27">
        <f>IF(X$39&lt;DATE(2026,3,1),SUMIFS('FTE Calculator'!$AM:$AM,'FTE Calculator'!$A:$A,X$39,'FTE Calculator'!$C:$C,"Matrix SP1",'FTE Calculator'!$F:$F,"phone"),SUMIFS('FTE Calculator'!$AP:$AP,'FTE Calculator'!$A:$A,X$39,'FTE Calculator'!$C:$C,"Matrix SP1",'FTE Calculator'!$F:$F,"phone"))</f>
        <v>0.09</v>
      </c>
      <c r="Y47" s="27">
        <f>IF(Y$39&lt;DATE(2026,3,1),SUMIFS('FTE Calculator'!$AM:$AM,'FTE Calculator'!$A:$A,Y$39,'FTE Calculator'!$C:$C,"Matrix SP1",'FTE Calculator'!$F:$F,"phone"),SUMIFS('FTE Calculator'!$AP:$AP,'FTE Calculator'!$A:$A,Y$39,'FTE Calculator'!$C:$C,"Matrix SP1",'FTE Calculator'!$F:$F,"phone"))</f>
        <v>0.09</v>
      </c>
      <c r="Z47" s="27">
        <f>IF(Z$39&lt;DATE(2026,3,1),SUMIFS('FTE Calculator'!$AM:$AM,'FTE Calculator'!$A:$A,Z$39,'FTE Calculator'!$C:$C,"Matrix SP1",'FTE Calculator'!$F:$F,"phone"),SUMIFS('FTE Calculator'!$AP:$AP,'FTE Calculator'!$A:$A,Z$39,'FTE Calculator'!$C:$C,"Matrix SP1",'FTE Calculator'!$F:$F,"phone"))</f>
        <v>0.09</v>
      </c>
      <c r="AA47" s="27">
        <f>IF(AA$39&lt;DATE(2026,3,1),SUMIFS('FTE Calculator'!$AM:$AM,'FTE Calculator'!$A:$A,AA$39,'FTE Calculator'!$C:$C,"Matrix SP1",'FTE Calculator'!$F:$F,"phone"),SUMIFS('FTE Calculator'!$AP:$AP,'FTE Calculator'!$A:$A,AA$39,'FTE Calculator'!$C:$C,"Matrix SP1",'FTE Calculator'!$F:$F,"phone"))</f>
        <v>0.09</v>
      </c>
      <c r="AB47" s="28">
        <f t="shared" si="13"/>
        <v>8.5833333333333317E-2</v>
      </c>
      <c r="AC47" s="27">
        <f>IF(AC$39&lt;DATE(2026,3,1),SUMIFS('FTE Calculator'!$AM:$AM,'FTE Calculator'!$A:$A,AC$39,'FTE Calculator'!$C:$C,"Matrix SP1",'FTE Calculator'!$F:$F,"phone"),SUMIFS('FTE Calculator'!$AP:$AP,'FTE Calculator'!$A:$A,AC$39,'FTE Calculator'!$C:$C,"Matrix SP1",'FTE Calculator'!$F:$F,"phone"))</f>
        <v>0.09</v>
      </c>
      <c r="AD47" s="27">
        <f>IF(AD$39&lt;DATE(2026,3,1),SUMIFS('FTE Calculator'!$AM:$AM,'FTE Calculator'!$A:$A,AD$39,'FTE Calculator'!$C:$C,"Matrix SP1",'FTE Calculator'!$F:$F,"phone"),SUMIFS('FTE Calculator'!$AP:$AP,'FTE Calculator'!$A:$A,AD$39,'FTE Calculator'!$C:$C,"Matrix SP1",'FTE Calculator'!$F:$F,"phone"))</f>
        <v>0.09</v>
      </c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</row>
    <row r="48" spans="1:700" x14ac:dyDescent="0.25">
      <c r="A48" s="17" t="s">
        <v>41</v>
      </c>
      <c r="B48" s="18" t="s">
        <v>92</v>
      </c>
      <c r="C48" s="20">
        <f>IF(C$39&lt;DATE(2026,3,1),SUMIFS('FTE Calculator'!$AM:$AM,'FTE Calculator'!$A:$A,C$39,'FTE Calculator'!$C:$C,"Matrix SP2",'FTE Calculator'!$F:$F,"phone"),SUMIFS('FTE Calculator'!$AP:$AP,'FTE Calculator'!$A:$A,C$39,'FTE Calculator'!$C:$C,"Matrix SP2",'FTE Calculator'!$F:$F,"phone"))</f>
        <v>0</v>
      </c>
      <c r="D48" s="20">
        <f>IF(D$39&lt;DATE(2026,3,1),SUMIFS('FTE Calculator'!$AM:$AM,'FTE Calculator'!$A:$A,D$39,'FTE Calculator'!$C:$C,"Matrix SP2",'FTE Calculator'!$F:$F,"phone"),SUMIFS('FTE Calculator'!$AP:$AP,'FTE Calculator'!$A:$A,D$39,'FTE Calculator'!$C:$C,"Matrix SP2",'FTE Calculator'!$F:$F,"phone"))</f>
        <v>0</v>
      </c>
      <c r="E48" s="20">
        <f>IF(E$39&lt;DATE(2026,3,1),SUMIFS('FTE Calculator'!$AM:$AM,'FTE Calculator'!$A:$A,E$39,'FTE Calculator'!$C:$C,"Matrix SP2",'FTE Calculator'!$F:$F,"phone"),SUMIFS('FTE Calculator'!$AP:$AP,'FTE Calculator'!$A:$A,E$39,'FTE Calculator'!$C:$C,"Matrix SP2",'FTE Calculator'!$F:$F,"phone"))</f>
        <v>0</v>
      </c>
      <c r="F48" s="20">
        <f>IF(F$39&lt;DATE(2026,3,1),SUMIFS('FTE Calculator'!$AM:$AM,'FTE Calculator'!$A:$A,F$39,'FTE Calculator'!$C:$C,"Matrix SP2",'FTE Calculator'!$F:$F,"phone"),SUMIFS('FTE Calculator'!$AP:$AP,'FTE Calculator'!$A:$A,F$39,'FTE Calculator'!$C:$C,"Matrix SP2",'FTE Calculator'!$F:$F,"phone"))</f>
        <v>0</v>
      </c>
      <c r="G48" s="20">
        <f>IF(G$39&lt;DATE(2026,3,1),SUMIFS('FTE Calculator'!$AM:$AM,'FTE Calculator'!$A:$A,G$39,'FTE Calculator'!$C:$C,"Matrix SP2",'FTE Calculator'!$F:$F,"phone"),SUMIFS('FTE Calculator'!$AP:$AP,'FTE Calculator'!$A:$A,G$39,'FTE Calculator'!$C:$C,"Matrix SP2",'FTE Calculator'!$F:$F,"phone"))</f>
        <v>0</v>
      </c>
      <c r="H48" s="20">
        <f>IF(H$39&lt;DATE(2026,3,1),SUMIFS('FTE Calculator'!$AM:$AM,'FTE Calculator'!$A:$A,H$39,'FTE Calculator'!$C:$C,"Matrix SP2",'FTE Calculator'!$F:$F,"phone"),SUMIFS('FTE Calculator'!$AP:$AP,'FTE Calculator'!$A:$A,H$39,'FTE Calculator'!$C:$C,"Matrix SP2",'FTE Calculator'!$F:$F,"phone"))</f>
        <v>0</v>
      </c>
      <c r="I48" s="20">
        <f>IF(I$39&lt;DATE(2026,3,1),SUMIFS('FTE Calculator'!$AM:$AM,'FTE Calculator'!$A:$A,I$39,'FTE Calculator'!$C:$C,"Matrix SP2",'FTE Calculator'!$F:$F,"phone"),SUMIFS('FTE Calculator'!$AP:$AP,'FTE Calculator'!$A:$A,I$39,'FTE Calculator'!$C:$C,"Matrix SP2",'FTE Calculator'!$F:$F,"phone"))</f>
        <v>0</v>
      </c>
      <c r="J48" s="20">
        <f>IF(J$39&lt;DATE(2026,3,1),SUMIFS('FTE Calculator'!$AM:$AM,'FTE Calculator'!$A:$A,J$39,'FTE Calculator'!$C:$C,"Matrix SP2",'FTE Calculator'!$F:$F,"phone"),SUMIFS('FTE Calculator'!$AP:$AP,'FTE Calculator'!$A:$A,J$39,'FTE Calculator'!$C:$C,"Matrix SP2",'FTE Calculator'!$F:$F,"phone"))</f>
        <v>0</v>
      </c>
      <c r="K48" s="20">
        <f>IF(K$39&lt;DATE(2026,3,1),SUMIFS('FTE Calculator'!$AM:$AM,'FTE Calculator'!$A:$A,K$39,'FTE Calculator'!$C:$C,"Matrix SP2",'FTE Calculator'!$F:$F,"phone"),SUMIFS('FTE Calculator'!$AP:$AP,'FTE Calculator'!$A:$A,K$39,'FTE Calculator'!$C:$C,"Matrix SP2",'FTE Calculator'!$F:$F,"phone"))</f>
        <v>0</v>
      </c>
      <c r="L48" s="20">
        <f>IF(L$39&lt;DATE(2026,3,1),SUMIFS('FTE Calculator'!$AM:$AM,'FTE Calculator'!$A:$A,L$39,'FTE Calculator'!$C:$C,"Matrix SP2",'FTE Calculator'!$F:$F,"phone"),SUMIFS('FTE Calculator'!$AP:$AP,'FTE Calculator'!$A:$A,L$39,'FTE Calculator'!$C:$C,"Matrix SP2",'FTE Calculator'!$F:$F,"phone"))</f>
        <v>0</v>
      </c>
      <c r="M48" s="20">
        <f>IF(M$39&lt;DATE(2026,3,1),SUMIFS('FTE Calculator'!$AM:$AM,'FTE Calculator'!$A:$A,M$39,'FTE Calculator'!$C:$C,"Matrix SP2",'FTE Calculator'!$F:$F,"phone"),SUMIFS('FTE Calculator'!$AP:$AP,'FTE Calculator'!$A:$A,M$39,'FTE Calculator'!$C:$C,"Matrix SP2",'FTE Calculator'!$F:$F,"phone"))</f>
        <v>0</v>
      </c>
      <c r="N48" s="20">
        <f>IF(N$39&lt;DATE(2026,3,1),SUMIFS('FTE Calculator'!$AM:$AM,'FTE Calculator'!$A:$A,N$39,'FTE Calculator'!$C:$C,"Matrix SP2",'FTE Calculator'!$F:$F,"phone"),SUMIFS('FTE Calculator'!$AP:$AP,'FTE Calculator'!$A:$A,N$39,'FTE Calculator'!$C:$C,"Matrix SP2",'FTE Calculator'!$F:$F,"phone"))</f>
        <v>0</v>
      </c>
      <c r="O48" s="28">
        <f t="shared" si="12"/>
        <v>0</v>
      </c>
      <c r="P48" s="20">
        <f>IF(P$39&lt;DATE(2026,3,1),SUMIFS('FTE Calculator'!$AM:$AM,'FTE Calculator'!$A:$A,P$39,'FTE Calculator'!$C:$C,"Matrix SP2",'FTE Calculator'!$F:$F,"phone"),SUMIFS('FTE Calculator'!$AP:$AP,'FTE Calculator'!$A:$A,P$39,'FTE Calculator'!$C:$C,"Matrix SP2",'FTE Calculator'!$F:$F,"phone"))</f>
        <v>0</v>
      </c>
      <c r="Q48" s="20">
        <f>IF(Q$39&lt;DATE(2026,3,1),SUMIFS('FTE Calculator'!$AM:$AM,'FTE Calculator'!$A:$A,Q$39,'FTE Calculator'!$C:$C,"Matrix SP2",'FTE Calculator'!$F:$F,"phone"),SUMIFS('FTE Calculator'!$AP:$AP,'FTE Calculator'!$A:$A,Q$39,'FTE Calculator'!$C:$C,"Matrix SP2",'FTE Calculator'!$F:$F,"phone"))</f>
        <v>0</v>
      </c>
      <c r="R48" s="20">
        <f>IF(R$39&lt;DATE(2026,3,1),SUMIFS('FTE Calculator'!$AM:$AM,'FTE Calculator'!$A:$A,R$39,'FTE Calculator'!$C:$C,"Matrix SP2",'FTE Calculator'!$F:$F,"phone"),SUMIFS('FTE Calculator'!$AP:$AP,'FTE Calculator'!$A:$A,R$39,'FTE Calculator'!$C:$C,"Matrix SP2",'FTE Calculator'!$F:$F,"phone"))</f>
        <v>0</v>
      </c>
      <c r="S48" s="20">
        <f>IF(S$39&lt;DATE(2026,3,1),SUMIFS('FTE Calculator'!$AM:$AM,'FTE Calculator'!$A:$A,S$39,'FTE Calculator'!$C:$C,"Matrix SP2",'FTE Calculator'!$F:$F,"phone"),SUMIFS('FTE Calculator'!$AP:$AP,'FTE Calculator'!$A:$A,S$39,'FTE Calculator'!$C:$C,"Matrix SP2",'FTE Calculator'!$F:$F,"phone"))</f>
        <v>0</v>
      </c>
      <c r="T48" s="20">
        <f>IF(T$39&lt;DATE(2026,3,1),SUMIFS('FTE Calculator'!$AM:$AM,'FTE Calculator'!$A:$A,T$39,'FTE Calculator'!$C:$C,"Matrix SP2",'FTE Calculator'!$F:$F,"phone"),SUMIFS('FTE Calculator'!$AP:$AP,'FTE Calculator'!$A:$A,T$39,'FTE Calculator'!$C:$C,"Matrix SP2",'FTE Calculator'!$F:$F,"phone"))</f>
        <v>0</v>
      </c>
      <c r="U48" s="20">
        <f>IF(U$39&lt;DATE(2026,3,1),SUMIFS('FTE Calculator'!$AM:$AM,'FTE Calculator'!$A:$A,U$39,'FTE Calculator'!$C:$C,"Matrix SP2",'FTE Calculator'!$F:$F,"phone"),SUMIFS('FTE Calculator'!$AP:$AP,'FTE Calculator'!$A:$A,U$39,'FTE Calculator'!$C:$C,"Matrix SP2",'FTE Calculator'!$F:$F,"phone"))</f>
        <v>0</v>
      </c>
      <c r="V48" s="20">
        <f>IF(V$39&lt;DATE(2026,3,1),SUMIFS('FTE Calculator'!$AM:$AM,'FTE Calculator'!$A:$A,V$39,'FTE Calculator'!$C:$C,"Matrix SP2",'FTE Calculator'!$F:$F,"phone"),SUMIFS('FTE Calculator'!$AP:$AP,'FTE Calculator'!$A:$A,V$39,'FTE Calculator'!$C:$C,"Matrix SP2",'FTE Calculator'!$F:$F,"phone"))</f>
        <v>0</v>
      </c>
      <c r="W48" s="20">
        <f>IF(W$39&lt;DATE(2026,3,1),SUMIFS('FTE Calculator'!$AM:$AM,'FTE Calculator'!$A:$A,W$39,'FTE Calculator'!$C:$C,"Matrix SP2",'FTE Calculator'!$F:$F,"phone"),SUMIFS('FTE Calculator'!$AP:$AP,'FTE Calculator'!$A:$A,W$39,'FTE Calculator'!$C:$C,"Matrix SP2",'FTE Calculator'!$F:$F,"phone"))</f>
        <v>0</v>
      </c>
      <c r="X48" s="20">
        <f>IF(X$39&lt;DATE(2026,3,1),SUMIFS('FTE Calculator'!$AM:$AM,'FTE Calculator'!$A:$A,X$39,'FTE Calculator'!$C:$C,"Matrix SP2",'FTE Calculator'!$F:$F,"phone"),SUMIFS('FTE Calculator'!$AP:$AP,'FTE Calculator'!$A:$A,X$39,'FTE Calculator'!$C:$C,"Matrix SP2",'FTE Calculator'!$F:$F,"phone"))</f>
        <v>0</v>
      </c>
      <c r="Y48" s="20">
        <f>IF(Y$39&lt;DATE(2026,3,1),SUMIFS('FTE Calculator'!$AM:$AM,'FTE Calculator'!$A:$A,Y$39,'FTE Calculator'!$C:$C,"Matrix SP2",'FTE Calculator'!$F:$F,"phone"),SUMIFS('FTE Calculator'!$AP:$AP,'FTE Calculator'!$A:$A,Y$39,'FTE Calculator'!$C:$C,"Matrix SP2",'FTE Calculator'!$F:$F,"phone"))</f>
        <v>0</v>
      </c>
      <c r="Z48" s="20">
        <f>IF(Z$39&lt;DATE(2026,3,1),SUMIFS('FTE Calculator'!$AM:$AM,'FTE Calculator'!$A:$A,Z$39,'FTE Calculator'!$C:$C,"Matrix SP2",'FTE Calculator'!$F:$F,"phone"),SUMIFS('FTE Calculator'!$AP:$AP,'FTE Calculator'!$A:$A,Z$39,'FTE Calculator'!$C:$C,"Matrix SP2",'FTE Calculator'!$F:$F,"phone"))</f>
        <v>0</v>
      </c>
      <c r="AA48" s="20">
        <f>IF(AA$39&lt;DATE(2026,3,1),SUMIFS('FTE Calculator'!$AM:$AM,'FTE Calculator'!$A:$A,AA$39,'FTE Calculator'!$C:$C,"Matrix SP2",'FTE Calculator'!$F:$F,"phone"),SUMIFS('FTE Calculator'!$AP:$AP,'FTE Calculator'!$A:$A,AA$39,'FTE Calculator'!$C:$C,"Matrix SP2",'FTE Calculator'!$F:$F,"phone"))</f>
        <v>0</v>
      </c>
      <c r="AB48" s="28">
        <f t="shared" si="13"/>
        <v>0</v>
      </c>
      <c r="AC48" s="20">
        <f>IF(AC$39&lt;DATE(2026,3,1),SUMIFS('FTE Calculator'!$AM:$AM,'FTE Calculator'!$A:$A,AC$39,'FTE Calculator'!$C:$C,"Matrix SP2",'FTE Calculator'!$F:$F,"phone"),SUMIFS('FTE Calculator'!$AP:$AP,'FTE Calculator'!$A:$A,AC$39,'FTE Calculator'!$C:$C,"Matrix SP2",'FTE Calculator'!$F:$F,"phone"))</f>
        <v>0</v>
      </c>
      <c r="AD48" s="20">
        <f>IF(AD$39&lt;DATE(2026,3,1),SUMIFS('FTE Calculator'!$AM:$AM,'FTE Calculator'!$A:$A,AD$39,'FTE Calculator'!$C:$C,"Matrix SP2",'FTE Calculator'!$F:$F,"phone"),SUMIFS('FTE Calculator'!$AP:$AP,'FTE Calculator'!$A:$A,AD$39,'FTE Calculator'!$C:$C,"Matrix SP2",'FTE Calculator'!$F:$F,"phone"))</f>
        <v>0</v>
      </c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</row>
    <row r="49" spans="1:700" x14ac:dyDescent="0.25">
      <c r="A49" s="23" t="s">
        <v>42</v>
      </c>
      <c r="B49" s="24" t="s">
        <v>92</v>
      </c>
      <c r="C49" s="27">
        <f>IF(C$39&lt;DATE(2026,3,1),SUMIFS('FTE Calculator'!$AM:$AM,'FTE Calculator'!$A:$A,C$39,'FTE Calculator'!$C:$C,"OneHome",'FTE Calculator'!$F:$F,"phone"),SUMIFS('FTE Calculator'!$AP:$AP,'FTE Calculator'!$A:$A,C$39,'FTE Calculator'!$C:$C,"OneHome",'FTE Calculator'!$F:$F,"phone"))</f>
        <v>0</v>
      </c>
      <c r="D49" s="27">
        <f>IF(D$39&lt;DATE(2026,3,1),SUMIFS('FTE Calculator'!$AM:$AM,'FTE Calculator'!$A:$A,D$39,'FTE Calculator'!$C:$C,"OneHome",'FTE Calculator'!$F:$F,"phone"),SUMIFS('FTE Calculator'!$AP:$AP,'FTE Calculator'!$A:$A,D$39,'FTE Calculator'!$C:$C,"OneHome",'FTE Calculator'!$F:$F,"phone"))</f>
        <v>0</v>
      </c>
      <c r="E49" s="27">
        <f>IF(E$39&lt;DATE(2026,3,1),SUMIFS('FTE Calculator'!$AM:$AM,'FTE Calculator'!$A:$A,E$39,'FTE Calculator'!$C:$C,"OneHome",'FTE Calculator'!$F:$F,"phone"),SUMIFS('FTE Calculator'!$AP:$AP,'FTE Calculator'!$A:$A,E$39,'FTE Calculator'!$C:$C,"OneHome",'FTE Calculator'!$F:$F,"phone"))</f>
        <v>0</v>
      </c>
      <c r="F49" s="27">
        <f>IF(F$39&lt;DATE(2026,3,1),SUMIFS('FTE Calculator'!$AM:$AM,'FTE Calculator'!$A:$A,F$39,'FTE Calculator'!$C:$C,"OneHome",'FTE Calculator'!$F:$F,"phone"),SUMIFS('FTE Calculator'!$AP:$AP,'FTE Calculator'!$A:$A,F$39,'FTE Calculator'!$C:$C,"OneHome",'FTE Calculator'!$F:$F,"phone"))</f>
        <v>0</v>
      </c>
      <c r="G49" s="27">
        <f>IF(G$39&lt;DATE(2026,3,1),SUMIFS('FTE Calculator'!$AM:$AM,'FTE Calculator'!$A:$A,G$39,'FTE Calculator'!$C:$C,"OneHome",'FTE Calculator'!$F:$F,"phone"),SUMIFS('FTE Calculator'!$AP:$AP,'FTE Calculator'!$A:$A,G$39,'FTE Calculator'!$C:$C,"OneHome",'FTE Calculator'!$F:$F,"phone"))</f>
        <v>0</v>
      </c>
      <c r="H49" s="27">
        <f>IF(H$39&lt;DATE(2026,3,1),SUMIFS('FTE Calculator'!$AM:$AM,'FTE Calculator'!$A:$A,H$39,'FTE Calculator'!$C:$C,"OneHome",'FTE Calculator'!$F:$F,"phone"),SUMIFS('FTE Calculator'!$AP:$AP,'FTE Calculator'!$A:$A,H$39,'FTE Calculator'!$C:$C,"OneHome",'FTE Calculator'!$F:$F,"phone"))</f>
        <v>0</v>
      </c>
      <c r="I49" s="27">
        <f>IF(I$39&lt;DATE(2026,3,1),SUMIFS('FTE Calculator'!$AM:$AM,'FTE Calculator'!$A:$A,I$39,'FTE Calculator'!$C:$C,"OneHome",'FTE Calculator'!$F:$F,"phone"),SUMIFS('FTE Calculator'!$AP:$AP,'FTE Calculator'!$A:$A,I$39,'FTE Calculator'!$C:$C,"OneHome",'FTE Calculator'!$F:$F,"phone"))</f>
        <v>0</v>
      </c>
      <c r="J49" s="27">
        <f>IF(J$39&lt;DATE(2026,3,1),SUMIFS('FTE Calculator'!$AM:$AM,'FTE Calculator'!$A:$A,J$39,'FTE Calculator'!$C:$C,"OneHome",'FTE Calculator'!$F:$F,"phone"),SUMIFS('FTE Calculator'!$AP:$AP,'FTE Calculator'!$A:$A,J$39,'FTE Calculator'!$C:$C,"OneHome",'FTE Calculator'!$F:$F,"phone"))</f>
        <v>0</v>
      </c>
      <c r="K49" s="27">
        <f>IF(K$39&lt;DATE(2026,3,1),SUMIFS('FTE Calculator'!$AM:$AM,'FTE Calculator'!$A:$A,K$39,'FTE Calculator'!$C:$C,"OneHome",'FTE Calculator'!$F:$F,"phone"),SUMIFS('FTE Calculator'!$AP:$AP,'FTE Calculator'!$A:$A,K$39,'FTE Calculator'!$C:$C,"OneHome",'FTE Calculator'!$F:$F,"phone"))</f>
        <v>0</v>
      </c>
      <c r="L49" s="27">
        <f>IF(L$39&lt;DATE(2026,3,1),SUMIFS('FTE Calculator'!$AM:$AM,'FTE Calculator'!$A:$A,L$39,'FTE Calculator'!$C:$C,"OneHome",'FTE Calculator'!$F:$F,"phone"),SUMIFS('FTE Calculator'!$AP:$AP,'FTE Calculator'!$A:$A,L$39,'FTE Calculator'!$C:$C,"OneHome",'FTE Calculator'!$F:$F,"phone"))</f>
        <v>0</v>
      </c>
      <c r="M49" s="27">
        <f>IF(M$39&lt;DATE(2026,3,1),SUMIFS('FTE Calculator'!$AM:$AM,'FTE Calculator'!$A:$A,M$39,'FTE Calculator'!$C:$C,"OneHome",'FTE Calculator'!$F:$F,"phone"),SUMIFS('FTE Calculator'!$AP:$AP,'FTE Calculator'!$A:$A,M$39,'FTE Calculator'!$C:$C,"OneHome",'FTE Calculator'!$F:$F,"phone"))</f>
        <v>0</v>
      </c>
      <c r="N49" s="27">
        <f>IF(N$39&lt;DATE(2026,3,1),SUMIFS('FTE Calculator'!$AM:$AM,'FTE Calculator'!$A:$A,N$39,'FTE Calculator'!$C:$C,"OneHome",'FTE Calculator'!$F:$F,"phone"),SUMIFS('FTE Calculator'!$AP:$AP,'FTE Calculator'!$A:$A,N$39,'FTE Calculator'!$C:$C,"OneHome",'FTE Calculator'!$F:$F,"phone"))</f>
        <v>0</v>
      </c>
      <c r="O49" s="28">
        <f t="shared" si="12"/>
        <v>0</v>
      </c>
      <c r="P49" s="27">
        <f>IF(P$39&lt;DATE(2026,3,1),SUMIFS('FTE Calculator'!$AM:$AM,'FTE Calculator'!$A:$A,P$39,'FTE Calculator'!$C:$C,"OneHome",'FTE Calculator'!$F:$F,"phone"),SUMIFS('FTE Calculator'!$AP:$AP,'FTE Calculator'!$A:$A,P$39,'FTE Calculator'!$C:$C,"OneHome",'FTE Calculator'!$F:$F,"phone"))</f>
        <v>0</v>
      </c>
      <c r="Q49" s="27">
        <f>IF(Q$39&lt;DATE(2026,3,1),SUMIFS('FTE Calculator'!$AM:$AM,'FTE Calculator'!$A:$A,Q$39,'FTE Calculator'!$C:$C,"OneHome",'FTE Calculator'!$F:$F,"phone"),SUMIFS('FTE Calculator'!$AP:$AP,'FTE Calculator'!$A:$A,Q$39,'FTE Calculator'!$C:$C,"OneHome",'FTE Calculator'!$F:$F,"phone"))</f>
        <v>0</v>
      </c>
      <c r="R49" s="27">
        <f>IF(R$39&lt;DATE(2026,3,1),SUMIFS('FTE Calculator'!$AM:$AM,'FTE Calculator'!$A:$A,R$39,'FTE Calculator'!$C:$C,"OneHome",'FTE Calculator'!$F:$F,"phone"),SUMIFS('FTE Calculator'!$AP:$AP,'FTE Calculator'!$A:$A,R$39,'FTE Calculator'!$C:$C,"OneHome",'FTE Calculator'!$F:$F,"phone"))</f>
        <v>0</v>
      </c>
      <c r="S49" s="27">
        <f>IF(S$39&lt;DATE(2026,3,1),SUMIFS('FTE Calculator'!$AM:$AM,'FTE Calculator'!$A:$A,S$39,'FTE Calculator'!$C:$C,"OneHome",'FTE Calculator'!$F:$F,"phone"),SUMIFS('FTE Calculator'!$AP:$AP,'FTE Calculator'!$A:$A,S$39,'FTE Calculator'!$C:$C,"OneHome",'FTE Calculator'!$F:$F,"phone"))</f>
        <v>0</v>
      </c>
      <c r="T49" s="27">
        <f>IF(T$39&lt;DATE(2026,3,1),SUMIFS('FTE Calculator'!$AM:$AM,'FTE Calculator'!$A:$A,T$39,'FTE Calculator'!$C:$C,"OneHome",'FTE Calculator'!$F:$F,"phone"),SUMIFS('FTE Calculator'!$AP:$AP,'FTE Calculator'!$A:$A,T$39,'FTE Calculator'!$C:$C,"OneHome",'FTE Calculator'!$F:$F,"phone"))</f>
        <v>0</v>
      </c>
      <c r="U49" s="27">
        <f>IF(U$39&lt;DATE(2026,3,1),SUMIFS('FTE Calculator'!$AM:$AM,'FTE Calculator'!$A:$A,U$39,'FTE Calculator'!$C:$C,"OneHome",'FTE Calculator'!$F:$F,"phone"),SUMIFS('FTE Calculator'!$AP:$AP,'FTE Calculator'!$A:$A,U$39,'FTE Calculator'!$C:$C,"OneHome",'FTE Calculator'!$F:$F,"phone"))</f>
        <v>0</v>
      </c>
      <c r="V49" s="27">
        <f>IF(V$39&lt;DATE(2026,3,1),SUMIFS('FTE Calculator'!$AM:$AM,'FTE Calculator'!$A:$A,V$39,'FTE Calculator'!$C:$C,"OneHome",'FTE Calculator'!$F:$F,"phone"),SUMIFS('FTE Calculator'!$AP:$AP,'FTE Calculator'!$A:$A,V$39,'FTE Calculator'!$C:$C,"OneHome",'FTE Calculator'!$F:$F,"phone"))</f>
        <v>0</v>
      </c>
      <c r="W49" s="27">
        <f>IF(W$39&lt;DATE(2026,3,1),SUMIFS('FTE Calculator'!$AM:$AM,'FTE Calculator'!$A:$A,W$39,'FTE Calculator'!$C:$C,"OneHome",'FTE Calculator'!$F:$F,"phone"),SUMIFS('FTE Calculator'!$AP:$AP,'FTE Calculator'!$A:$A,W$39,'FTE Calculator'!$C:$C,"OneHome",'FTE Calculator'!$F:$F,"phone"))</f>
        <v>0</v>
      </c>
      <c r="X49" s="27">
        <f>IF(X$39&lt;DATE(2026,3,1),SUMIFS('FTE Calculator'!$AM:$AM,'FTE Calculator'!$A:$A,X$39,'FTE Calculator'!$C:$C,"OneHome",'FTE Calculator'!$F:$F,"phone"),SUMIFS('FTE Calculator'!$AP:$AP,'FTE Calculator'!$A:$A,X$39,'FTE Calculator'!$C:$C,"OneHome",'FTE Calculator'!$F:$F,"phone"))</f>
        <v>0</v>
      </c>
      <c r="Y49" s="27">
        <f>IF(Y$39&lt;DATE(2026,3,1),SUMIFS('FTE Calculator'!$AM:$AM,'FTE Calculator'!$A:$A,Y$39,'FTE Calculator'!$C:$C,"OneHome",'FTE Calculator'!$F:$F,"phone"),SUMIFS('FTE Calculator'!$AP:$AP,'FTE Calculator'!$A:$A,Y$39,'FTE Calculator'!$C:$C,"OneHome",'FTE Calculator'!$F:$F,"phone"))</f>
        <v>0</v>
      </c>
      <c r="Z49" s="27">
        <f>IF(Z$39&lt;DATE(2026,3,1),SUMIFS('FTE Calculator'!$AM:$AM,'FTE Calculator'!$A:$A,Z$39,'FTE Calculator'!$C:$C,"OneHome",'FTE Calculator'!$F:$F,"phone"),SUMIFS('FTE Calculator'!$AP:$AP,'FTE Calculator'!$A:$A,Z$39,'FTE Calculator'!$C:$C,"OneHome",'FTE Calculator'!$F:$F,"phone"))</f>
        <v>0</v>
      </c>
      <c r="AA49" s="27">
        <f>IF(AA$39&lt;DATE(2026,3,1),SUMIFS('FTE Calculator'!$AM:$AM,'FTE Calculator'!$A:$A,AA$39,'FTE Calculator'!$C:$C,"OneHome",'FTE Calculator'!$F:$F,"phone"),SUMIFS('FTE Calculator'!$AP:$AP,'FTE Calculator'!$A:$A,AA$39,'FTE Calculator'!$C:$C,"OneHome",'FTE Calculator'!$F:$F,"phone"))</f>
        <v>0</v>
      </c>
      <c r="AB49" s="28">
        <f t="shared" si="13"/>
        <v>0</v>
      </c>
      <c r="AC49" s="27">
        <f>IF(AC$39&lt;DATE(2026,3,1),SUMIFS('FTE Calculator'!$AM:$AM,'FTE Calculator'!$A:$A,AC$39,'FTE Calculator'!$C:$C,"OneHome",'FTE Calculator'!$F:$F,"phone"),SUMIFS('FTE Calculator'!$AP:$AP,'FTE Calculator'!$A:$A,AC$39,'FTE Calculator'!$C:$C,"OneHome",'FTE Calculator'!$F:$F,"phone"))</f>
        <v>0</v>
      </c>
      <c r="AD49" s="27">
        <f>IF(AD$39&lt;DATE(2026,3,1),SUMIFS('FTE Calculator'!$AM:$AM,'FTE Calculator'!$A:$A,AD$39,'FTE Calculator'!$C:$C,"OneHome",'FTE Calculator'!$F:$F,"phone"),SUMIFS('FTE Calculator'!$AP:$AP,'FTE Calculator'!$A:$A,AD$39,'FTE Calculator'!$C:$C,"OneHome",'FTE Calculator'!$F:$F,"phone"))</f>
        <v>0</v>
      </c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</row>
    <row r="50" spans="1:700" x14ac:dyDescent="0.25">
      <c r="A50" s="17" t="s">
        <v>43</v>
      </c>
      <c r="B50" s="18" t="s">
        <v>92</v>
      </c>
      <c r="C50" s="20">
        <f>IF(C$39&lt;DATE(2026,3,1),SUMIFS('FTE Calculator'!$AM:$AM,'FTE Calculator'!$A:$A,C$39,'FTE Calculator'!$C:$C,"PropWatch",'FTE Calculator'!$F:$F,"phone"),SUMIFS('FTE Calculator'!$AP:$AP,'FTE Calculator'!$A:$A,C$39,'FTE Calculator'!$C:$C,"PropWatch",'FTE Calculator'!$F:$F,"phone"))</f>
        <v>0</v>
      </c>
      <c r="D50" s="20">
        <f>IF(D$39&lt;DATE(2026,3,1),SUMIFS('FTE Calculator'!$AM:$AM,'FTE Calculator'!$A:$A,D$39,'FTE Calculator'!$C:$C,"PropWatch",'FTE Calculator'!$F:$F,"phone"),SUMIFS('FTE Calculator'!$AP:$AP,'FTE Calculator'!$A:$A,D$39,'FTE Calculator'!$C:$C,"PropWatch",'FTE Calculator'!$F:$F,"phone"))</f>
        <v>0</v>
      </c>
      <c r="E50" s="20">
        <f>IF(E$39&lt;DATE(2026,3,1),SUMIFS('FTE Calculator'!$AM:$AM,'FTE Calculator'!$A:$A,E$39,'FTE Calculator'!$C:$C,"PropWatch",'FTE Calculator'!$F:$F,"phone"),SUMIFS('FTE Calculator'!$AP:$AP,'FTE Calculator'!$A:$A,E$39,'FTE Calculator'!$C:$C,"PropWatch",'FTE Calculator'!$F:$F,"phone"))</f>
        <v>0</v>
      </c>
      <c r="F50" s="20">
        <f>IF(F$39&lt;DATE(2026,3,1),SUMIFS('FTE Calculator'!$AM:$AM,'FTE Calculator'!$A:$A,F$39,'FTE Calculator'!$C:$C,"PropWatch",'FTE Calculator'!$F:$F,"phone"),SUMIFS('FTE Calculator'!$AP:$AP,'FTE Calculator'!$A:$A,F$39,'FTE Calculator'!$C:$C,"PropWatch",'FTE Calculator'!$F:$F,"phone"))</f>
        <v>0</v>
      </c>
      <c r="G50" s="20">
        <f>IF(G$39&lt;DATE(2026,3,1),SUMIFS('FTE Calculator'!$AM:$AM,'FTE Calculator'!$A:$A,G$39,'FTE Calculator'!$C:$C,"PropWatch",'FTE Calculator'!$F:$F,"phone"),SUMIFS('FTE Calculator'!$AP:$AP,'FTE Calculator'!$A:$A,G$39,'FTE Calculator'!$C:$C,"PropWatch",'FTE Calculator'!$F:$F,"phone"))</f>
        <v>0</v>
      </c>
      <c r="H50" s="20">
        <f>IF(H$39&lt;DATE(2026,3,1),SUMIFS('FTE Calculator'!$AM:$AM,'FTE Calculator'!$A:$A,H$39,'FTE Calculator'!$C:$C,"PropWatch",'FTE Calculator'!$F:$F,"phone"),SUMIFS('FTE Calculator'!$AP:$AP,'FTE Calculator'!$A:$A,H$39,'FTE Calculator'!$C:$C,"PropWatch",'FTE Calculator'!$F:$F,"phone"))</f>
        <v>0</v>
      </c>
      <c r="I50" s="20">
        <f>IF(I$39&lt;DATE(2026,3,1),SUMIFS('FTE Calculator'!$AM:$AM,'FTE Calculator'!$A:$A,I$39,'FTE Calculator'!$C:$C,"PropWatch",'FTE Calculator'!$F:$F,"phone"),SUMIFS('FTE Calculator'!$AP:$AP,'FTE Calculator'!$A:$A,I$39,'FTE Calculator'!$C:$C,"PropWatch",'FTE Calculator'!$F:$F,"phone"))</f>
        <v>0</v>
      </c>
      <c r="J50" s="20">
        <f>IF(J$39&lt;DATE(2026,3,1),SUMIFS('FTE Calculator'!$AM:$AM,'FTE Calculator'!$A:$A,J$39,'FTE Calculator'!$C:$C,"PropWatch",'FTE Calculator'!$F:$F,"phone"),SUMIFS('FTE Calculator'!$AP:$AP,'FTE Calculator'!$A:$A,J$39,'FTE Calculator'!$C:$C,"PropWatch",'FTE Calculator'!$F:$F,"phone"))</f>
        <v>0</v>
      </c>
      <c r="K50" s="20">
        <f>IF(K$39&lt;DATE(2026,3,1),SUMIFS('FTE Calculator'!$AM:$AM,'FTE Calculator'!$A:$A,K$39,'FTE Calculator'!$C:$C,"PropWatch",'FTE Calculator'!$F:$F,"phone"),SUMIFS('FTE Calculator'!$AP:$AP,'FTE Calculator'!$A:$A,K$39,'FTE Calculator'!$C:$C,"PropWatch",'FTE Calculator'!$F:$F,"phone"))</f>
        <v>0</v>
      </c>
      <c r="L50" s="20">
        <f>IF(L$39&lt;DATE(2026,3,1),SUMIFS('FTE Calculator'!$AM:$AM,'FTE Calculator'!$A:$A,L$39,'FTE Calculator'!$C:$C,"PropWatch",'FTE Calculator'!$F:$F,"phone"),SUMIFS('FTE Calculator'!$AP:$AP,'FTE Calculator'!$A:$A,L$39,'FTE Calculator'!$C:$C,"PropWatch",'FTE Calculator'!$F:$F,"phone"))</f>
        <v>0</v>
      </c>
      <c r="M50" s="20">
        <f>IF(M$39&lt;DATE(2026,3,1),SUMIFS('FTE Calculator'!$AM:$AM,'FTE Calculator'!$A:$A,M$39,'FTE Calculator'!$C:$C,"PropWatch",'FTE Calculator'!$F:$F,"phone"),SUMIFS('FTE Calculator'!$AP:$AP,'FTE Calculator'!$A:$A,M$39,'FTE Calculator'!$C:$C,"PropWatch",'FTE Calculator'!$F:$F,"phone"))</f>
        <v>0</v>
      </c>
      <c r="N50" s="20">
        <f>IF(N$39&lt;DATE(2026,3,1),SUMIFS('FTE Calculator'!$AM:$AM,'FTE Calculator'!$A:$A,N$39,'FTE Calculator'!$C:$C,"PropWatch",'FTE Calculator'!$F:$F,"phone"),SUMIFS('FTE Calculator'!$AP:$AP,'FTE Calculator'!$A:$A,N$39,'FTE Calculator'!$C:$C,"PropWatch",'FTE Calculator'!$F:$F,"phone"))</f>
        <v>0</v>
      </c>
      <c r="O50" s="28">
        <f t="shared" si="12"/>
        <v>0</v>
      </c>
      <c r="P50" s="20">
        <f>IF(P$39&lt;DATE(2026,3,1),SUMIFS('FTE Calculator'!$AM:$AM,'FTE Calculator'!$A:$A,P$39,'FTE Calculator'!$C:$C,"PropWatch",'FTE Calculator'!$F:$F,"phone"),SUMIFS('FTE Calculator'!$AP:$AP,'FTE Calculator'!$A:$A,P$39,'FTE Calculator'!$C:$C,"PropWatch",'FTE Calculator'!$F:$F,"phone"))</f>
        <v>0</v>
      </c>
      <c r="Q50" s="20">
        <f>IF(Q$39&lt;DATE(2026,3,1),SUMIFS('FTE Calculator'!$AM:$AM,'FTE Calculator'!$A:$A,Q$39,'FTE Calculator'!$C:$C,"PropWatch",'FTE Calculator'!$F:$F,"phone"),SUMIFS('FTE Calculator'!$AP:$AP,'FTE Calculator'!$A:$A,Q$39,'FTE Calculator'!$C:$C,"PropWatch",'FTE Calculator'!$F:$F,"phone"))</f>
        <v>0</v>
      </c>
      <c r="R50" s="20">
        <f>IF(R$39&lt;DATE(2026,3,1),SUMIFS('FTE Calculator'!$AM:$AM,'FTE Calculator'!$A:$A,R$39,'FTE Calculator'!$C:$C,"PropWatch",'FTE Calculator'!$F:$F,"phone"),SUMIFS('FTE Calculator'!$AP:$AP,'FTE Calculator'!$A:$A,R$39,'FTE Calculator'!$C:$C,"PropWatch",'FTE Calculator'!$F:$F,"phone"))</f>
        <v>0</v>
      </c>
      <c r="S50" s="20">
        <f>IF(S$39&lt;DATE(2026,3,1),SUMIFS('FTE Calculator'!$AM:$AM,'FTE Calculator'!$A:$A,S$39,'FTE Calculator'!$C:$C,"PropWatch",'FTE Calculator'!$F:$F,"phone"),SUMIFS('FTE Calculator'!$AP:$AP,'FTE Calculator'!$A:$A,S$39,'FTE Calculator'!$C:$C,"PropWatch",'FTE Calculator'!$F:$F,"phone"))</f>
        <v>0</v>
      </c>
      <c r="T50" s="20">
        <f>IF(T$39&lt;DATE(2026,3,1),SUMIFS('FTE Calculator'!$AM:$AM,'FTE Calculator'!$A:$A,T$39,'FTE Calculator'!$C:$C,"PropWatch",'FTE Calculator'!$F:$F,"phone"),SUMIFS('FTE Calculator'!$AP:$AP,'FTE Calculator'!$A:$A,T$39,'FTE Calculator'!$C:$C,"PropWatch",'FTE Calculator'!$F:$F,"phone"))</f>
        <v>0</v>
      </c>
      <c r="U50" s="20">
        <f>IF(U$39&lt;DATE(2026,3,1),SUMIFS('FTE Calculator'!$AM:$AM,'FTE Calculator'!$A:$A,U$39,'FTE Calculator'!$C:$C,"PropWatch",'FTE Calculator'!$F:$F,"phone"),SUMIFS('FTE Calculator'!$AP:$AP,'FTE Calculator'!$A:$A,U$39,'FTE Calculator'!$C:$C,"PropWatch",'FTE Calculator'!$F:$F,"phone"))</f>
        <v>0</v>
      </c>
      <c r="V50" s="20">
        <f>IF(V$39&lt;DATE(2026,3,1),SUMIFS('FTE Calculator'!$AM:$AM,'FTE Calculator'!$A:$A,V$39,'FTE Calculator'!$C:$C,"PropWatch",'FTE Calculator'!$F:$F,"phone"),SUMIFS('FTE Calculator'!$AP:$AP,'FTE Calculator'!$A:$A,V$39,'FTE Calculator'!$C:$C,"PropWatch",'FTE Calculator'!$F:$F,"phone"))</f>
        <v>0</v>
      </c>
      <c r="W50" s="20">
        <f>IF(W$39&lt;DATE(2026,3,1),SUMIFS('FTE Calculator'!$AM:$AM,'FTE Calculator'!$A:$A,W$39,'FTE Calculator'!$C:$C,"PropWatch",'FTE Calculator'!$F:$F,"phone"),SUMIFS('FTE Calculator'!$AP:$AP,'FTE Calculator'!$A:$A,W$39,'FTE Calculator'!$C:$C,"PropWatch",'FTE Calculator'!$F:$F,"phone"))</f>
        <v>0</v>
      </c>
      <c r="X50" s="20">
        <f>IF(X$39&lt;DATE(2026,3,1),SUMIFS('FTE Calculator'!$AM:$AM,'FTE Calculator'!$A:$A,X$39,'FTE Calculator'!$C:$C,"PropWatch",'FTE Calculator'!$F:$F,"phone"),SUMIFS('FTE Calculator'!$AP:$AP,'FTE Calculator'!$A:$A,X$39,'FTE Calculator'!$C:$C,"PropWatch",'FTE Calculator'!$F:$F,"phone"))</f>
        <v>0</v>
      </c>
      <c r="Y50" s="20">
        <f>IF(Y$39&lt;DATE(2026,3,1),SUMIFS('FTE Calculator'!$AM:$AM,'FTE Calculator'!$A:$A,Y$39,'FTE Calculator'!$C:$C,"PropWatch",'FTE Calculator'!$F:$F,"phone"),SUMIFS('FTE Calculator'!$AP:$AP,'FTE Calculator'!$A:$A,Y$39,'FTE Calculator'!$C:$C,"PropWatch",'FTE Calculator'!$F:$F,"phone"))</f>
        <v>0</v>
      </c>
      <c r="Z50" s="20">
        <f>IF(Z$39&lt;DATE(2026,3,1),SUMIFS('FTE Calculator'!$AM:$AM,'FTE Calculator'!$A:$A,Z$39,'FTE Calculator'!$C:$C,"PropWatch",'FTE Calculator'!$F:$F,"phone"),SUMIFS('FTE Calculator'!$AP:$AP,'FTE Calculator'!$A:$A,Z$39,'FTE Calculator'!$C:$C,"PropWatch",'FTE Calculator'!$F:$F,"phone"))</f>
        <v>0</v>
      </c>
      <c r="AA50" s="20">
        <f>IF(AA$39&lt;DATE(2026,3,1),SUMIFS('FTE Calculator'!$AM:$AM,'FTE Calculator'!$A:$A,AA$39,'FTE Calculator'!$C:$C,"PropWatch",'FTE Calculator'!$F:$F,"phone"),SUMIFS('FTE Calculator'!$AP:$AP,'FTE Calculator'!$A:$A,AA$39,'FTE Calculator'!$C:$C,"PropWatch",'FTE Calculator'!$F:$F,"phone"))</f>
        <v>0</v>
      </c>
      <c r="AB50" s="28">
        <f t="shared" si="13"/>
        <v>0</v>
      </c>
      <c r="AC50" s="20">
        <f>IF(AC$39&lt;DATE(2026,3,1),SUMIFS('FTE Calculator'!$AM:$AM,'FTE Calculator'!$A:$A,AC$39,'FTE Calculator'!$C:$C,"PropWatch",'FTE Calculator'!$F:$F,"phone"),SUMIFS('FTE Calculator'!$AP:$AP,'FTE Calculator'!$A:$A,AC$39,'FTE Calculator'!$C:$C,"PropWatch",'FTE Calculator'!$F:$F,"phone"))</f>
        <v>0</v>
      </c>
      <c r="AD50" s="20">
        <f>IF(AD$39&lt;DATE(2026,3,1),SUMIFS('FTE Calculator'!$AM:$AM,'FTE Calculator'!$A:$A,AD$39,'FTE Calculator'!$C:$C,"PropWatch",'FTE Calculator'!$F:$F,"phone"),SUMIFS('FTE Calculator'!$AP:$AP,'FTE Calculator'!$A:$A,AD$39,'FTE Calculator'!$C:$C,"PropWatch",'FTE Calculator'!$F:$F,"phone"))</f>
        <v>0</v>
      </c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</row>
    <row r="51" spans="1:700" x14ac:dyDescent="0.25">
      <c r="A51" s="23" t="s">
        <v>44</v>
      </c>
      <c r="B51" s="24" t="s">
        <v>92</v>
      </c>
      <c r="C51" s="27">
        <f>IF(C$39&lt;DATE(2026,3,1),SUMIFS('FTE Calculator'!$AM:$AM,'FTE Calculator'!$A:$A,C$39,'FTE Calculator'!$C:$C,"Trestle",'FTE Calculator'!$F:$F,"phone"),SUMIFS('FTE Calculator'!$AP:$AP,'FTE Calculator'!$A:$A,C$39,'FTE Calculator'!$C:$C,"Trestle",'FTE Calculator'!$F:$F,"phone"))</f>
        <v>0</v>
      </c>
      <c r="D51" s="27">
        <f>IF(D$39&lt;DATE(2026,3,1),SUMIFS('FTE Calculator'!$AM:$AM,'FTE Calculator'!$A:$A,D$39,'FTE Calculator'!$C:$C,"Trestle",'FTE Calculator'!$F:$F,"phone"),SUMIFS('FTE Calculator'!$AP:$AP,'FTE Calculator'!$A:$A,D$39,'FTE Calculator'!$C:$C,"Trestle",'FTE Calculator'!$F:$F,"phone"))</f>
        <v>0</v>
      </c>
      <c r="E51" s="27">
        <f>IF(E$39&lt;DATE(2026,3,1),SUMIFS('FTE Calculator'!$AM:$AM,'FTE Calculator'!$A:$A,E$39,'FTE Calculator'!$C:$C,"Trestle",'FTE Calculator'!$F:$F,"phone"),SUMIFS('FTE Calculator'!$AP:$AP,'FTE Calculator'!$A:$A,E$39,'FTE Calculator'!$C:$C,"Trestle",'FTE Calculator'!$F:$F,"phone"))</f>
        <v>0</v>
      </c>
      <c r="F51" s="27">
        <f>IF(F$39&lt;DATE(2026,3,1),SUMIFS('FTE Calculator'!$AM:$AM,'FTE Calculator'!$A:$A,F$39,'FTE Calculator'!$C:$C,"Trestle",'FTE Calculator'!$F:$F,"phone"),SUMIFS('FTE Calculator'!$AP:$AP,'FTE Calculator'!$A:$A,F$39,'FTE Calculator'!$C:$C,"Trestle",'FTE Calculator'!$F:$F,"phone"))</f>
        <v>0</v>
      </c>
      <c r="G51" s="27">
        <f>IF(G$39&lt;DATE(2026,3,1),SUMIFS('FTE Calculator'!$AM:$AM,'FTE Calculator'!$A:$A,G$39,'FTE Calculator'!$C:$C,"Trestle",'FTE Calculator'!$F:$F,"phone"),SUMIFS('FTE Calculator'!$AP:$AP,'FTE Calculator'!$A:$A,G$39,'FTE Calculator'!$C:$C,"Trestle",'FTE Calculator'!$F:$F,"phone"))</f>
        <v>0</v>
      </c>
      <c r="H51" s="27">
        <f>IF(H$39&lt;DATE(2026,3,1),SUMIFS('FTE Calculator'!$AM:$AM,'FTE Calculator'!$A:$A,H$39,'FTE Calculator'!$C:$C,"Trestle",'FTE Calculator'!$F:$F,"phone"),SUMIFS('FTE Calculator'!$AP:$AP,'FTE Calculator'!$A:$A,H$39,'FTE Calculator'!$C:$C,"Trestle",'FTE Calculator'!$F:$F,"phone"))</f>
        <v>0</v>
      </c>
      <c r="I51" s="27">
        <f>IF(I$39&lt;DATE(2026,3,1),SUMIFS('FTE Calculator'!$AM:$AM,'FTE Calculator'!$A:$A,I$39,'FTE Calculator'!$C:$C,"Trestle",'FTE Calculator'!$F:$F,"phone"),SUMIFS('FTE Calculator'!$AP:$AP,'FTE Calculator'!$A:$A,I$39,'FTE Calculator'!$C:$C,"Trestle",'FTE Calculator'!$F:$F,"phone"))</f>
        <v>0</v>
      </c>
      <c r="J51" s="27">
        <f>IF(J$39&lt;DATE(2026,3,1),SUMIFS('FTE Calculator'!$AM:$AM,'FTE Calculator'!$A:$A,J$39,'FTE Calculator'!$C:$C,"Trestle",'FTE Calculator'!$F:$F,"phone"),SUMIFS('FTE Calculator'!$AP:$AP,'FTE Calculator'!$A:$A,J$39,'FTE Calculator'!$C:$C,"Trestle",'FTE Calculator'!$F:$F,"phone"))</f>
        <v>0</v>
      </c>
      <c r="K51" s="27">
        <f>IF(K$39&lt;DATE(2026,3,1),SUMIFS('FTE Calculator'!$AM:$AM,'FTE Calculator'!$A:$A,K$39,'FTE Calculator'!$C:$C,"Trestle",'FTE Calculator'!$F:$F,"phone"),SUMIFS('FTE Calculator'!$AP:$AP,'FTE Calculator'!$A:$A,K$39,'FTE Calculator'!$C:$C,"Trestle",'FTE Calculator'!$F:$F,"phone"))</f>
        <v>0</v>
      </c>
      <c r="L51" s="27">
        <f>IF(L$39&lt;DATE(2026,3,1),SUMIFS('FTE Calculator'!$AM:$AM,'FTE Calculator'!$A:$A,L$39,'FTE Calculator'!$C:$C,"Trestle",'FTE Calculator'!$F:$F,"phone"),SUMIFS('FTE Calculator'!$AP:$AP,'FTE Calculator'!$A:$A,L$39,'FTE Calculator'!$C:$C,"Trestle",'FTE Calculator'!$F:$F,"phone"))</f>
        <v>0</v>
      </c>
      <c r="M51" s="27">
        <f>IF(M$39&lt;DATE(2026,3,1),SUMIFS('FTE Calculator'!$AM:$AM,'FTE Calculator'!$A:$A,M$39,'FTE Calculator'!$C:$C,"Trestle",'FTE Calculator'!$F:$F,"phone"),SUMIFS('FTE Calculator'!$AP:$AP,'FTE Calculator'!$A:$A,M$39,'FTE Calculator'!$C:$C,"Trestle",'FTE Calculator'!$F:$F,"phone"))</f>
        <v>0</v>
      </c>
      <c r="N51" s="27">
        <f>IF(N$39&lt;DATE(2026,3,1),SUMIFS('FTE Calculator'!$AM:$AM,'FTE Calculator'!$A:$A,N$39,'FTE Calculator'!$C:$C,"Trestle",'FTE Calculator'!$F:$F,"phone"),SUMIFS('FTE Calculator'!$AP:$AP,'FTE Calculator'!$A:$A,N$39,'FTE Calculator'!$C:$C,"Trestle",'FTE Calculator'!$F:$F,"phone"))</f>
        <v>0</v>
      </c>
      <c r="O51" s="28">
        <f t="shared" si="12"/>
        <v>0</v>
      </c>
      <c r="P51" s="27">
        <f>IF(P$39&lt;DATE(2026,3,1),SUMIFS('FTE Calculator'!$AM:$AM,'FTE Calculator'!$A:$A,P$39,'FTE Calculator'!$C:$C,"Trestle",'FTE Calculator'!$F:$F,"phone"),SUMIFS('FTE Calculator'!$AP:$AP,'FTE Calculator'!$A:$A,P$39,'FTE Calculator'!$C:$C,"Trestle",'FTE Calculator'!$F:$F,"phone"))</f>
        <v>0</v>
      </c>
      <c r="Q51" s="27">
        <f>IF(Q$39&lt;DATE(2026,3,1),SUMIFS('FTE Calculator'!$AM:$AM,'FTE Calculator'!$A:$A,Q$39,'FTE Calculator'!$C:$C,"Trestle",'FTE Calculator'!$F:$F,"phone"),SUMIFS('FTE Calculator'!$AP:$AP,'FTE Calculator'!$A:$A,Q$39,'FTE Calculator'!$C:$C,"Trestle",'FTE Calculator'!$F:$F,"phone"))</f>
        <v>0</v>
      </c>
      <c r="R51" s="27">
        <f>IF(R$39&lt;DATE(2026,3,1),SUMIFS('FTE Calculator'!$AM:$AM,'FTE Calculator'!$A:$A,R$39,'FTE Calculator'!$C:$C,"Trestle",'FTE Calculator'!$F:$F,"phone"),SUMIFS('FTE Calculator'!$AP:$AP,'FTE Calculator'!$A:$A,R$39,'FTE Calculator'!$C:$C,"Trestle",'FTE Calculator'!$F:$F,"phone"))</f>
        <v>0</v>
      </c>
      <c r="S51" s="27">
        <f>IF(S$39&lt;DATE(2026,3,1),SUMIFS('FTE Calculator'!$AM:$AM,'FTE Calculator'!$A:$A,S$39,'FTE Calculator'!$C:$C,"Trestle",'FTE Calculator'!$F:$F,"phone"),SUMIFS('FTE Calculator'!$AP:$AP,'FTE Calculator'!$A:$A,S$39,'FTE Calculator'!$C:$C,"Trestle",'FTE Calculator'!$F:$F,"phone"))</f>
        <v>0</v>
      </c>
      <c r="T51" s="27">
        <f>IF(T$39&lt;DATE(2026,3,1),SUMIFS('FTE Calculator'!$AM:$AM,'FTE Calculator'!$A:$A,T$39,'FTE Calculator'!$C:$C,"Trestle",'FTE Calculator'!$F:$F,"phone"),SUMIFS('FTE Calculator'!$AP:$AP,'FTE Calculator'!$A:$A,T$39,'FTE Calculator'!$C:$C,"Trestle",'FTE Calculator'!$F:$F,"phone"))</f>
        <v>0</v>
      </c>
      <c r="U51" s="27">
        <f>IF(U$39&lt;DATE(2026,3,1),SUMIFS('FTE Calculator'!$AM:$AM,'FTE Calculator'!$A:$A,U$39,'FTE Calculator'!$C:$C,"Trestle",'FTE Calculator'!$F:$F,"phone"),SUMIFS('FTE Calculator'!$AP:$AP,'FTE Calculator'!$A:$A,U$39,'FTE Calculator'!$C:$C,"Trestle",'FTE Calculator'!$F:$F,"phone"))</f>
        <v>0</v>
      </c>
      <c r="V51" s="27">
        <f>IF(V$39&lt;DATE(2026,3,1),SUMIFS('FTE Calculator'!$AM:$AM,'FTE Calculator'!$A:$A,V$39,'FTE Calculator'!$C:$C,"Trestle",'FTE Calculator'!$F:$F,"phone"),SUMIFS('FTE Calculator'!$AP:$AP,'FTE Calculator'!$A:$A,V$39,'FTE Calculator'!$C:$C,"Trestle",'FTE Calculator'!$F:$F,"phone"))</f>
        <v>0</v>
      </c>
      <c r="W51" s="27">
        <f>IF(W$39&lt;DATE(2026,3,1),SUMIFS('FTE Calculator'!$AM:$AM,'FTE Calculator'!$A:$A,W$39,'FTE Calculator'!$C:$C,"Trestle",'FTE Calculator'!$F:$F,"phone"),SUMIFS('FTE Calculator'!$AP:$AP,'FTE Calculator'!$A:$A,W$39,'FTE Calculator'!$C:$C,"Trestle",'FTE Calculator'!$F:$F,"phone"))</f>
        <v>0</v>
      </c>
      <c r="X51" s="27">
        <f>IF(X$39&lt;DATE(2026,3,1),SUMIFS('FTE Calculator'!$AM:$AM,'FTE Calculator'!$A:$A,X$39,'FTE Calculator'!$C:$C,"Trestle",'FTE Calculator'!$F:$F,"phone"),SUMIFS('FTE Calculator'!$AP:$AP,'FTE Calculator'!$A:$A,X$39,'FTE Calculator'!$C:$C,"Trestle",'FTE Calculator'!$F:$F,"phone"))</f>
        <v>0</v>
      </c>
      <c r="Y51" s="27">
        <f>IF(Y$39&lt;DATE(2026,3,1),SUMIFS('FTE Calculator'!$AM:$AM,'FTE Calculator'!$A:$A,Y$39,'FTE Calculator'!$C:$C,"Trestle",'FTE Calculator'!$F:$F,"phone"),SUMIFS('FTE Calculator'!$AP:$AP,'FTE Calculator'!$A:$A,Y$39,'FTE Calculator'!$C:$C,"Trestle",'FTE Calculator'!$F:$F,"phone"))</f>
        <v>0</v>
      </c>
      <c r="Z51" s="27">
        <f>IF(Z$39&lt;DATE(2026,3,1),SUMIFS('FTE Calculator'!$AM:$AM,'FTE Calculator'!$A:$A,Z$39,'FTE Calculator'!$C:$C,"Trestle",'FTE Calculator'!$F:$F,"phone"),SUMIFS('FTE Calculator'!$AP:$AP,'FTE Calculator'!$A:$A,Z$39,'FTE Calculator'!$C:$C,"Trestle",'FTE Calculator'!$F:$F,"phone"))</f>
        <v>0</v>
      </c>
      <c r="AA51" s="27">
        <f>IF(AA$39&lt;DATE(2026,3,1),SUMIFS('FTE Calculator'!$AM:$AM,'FTE Calculator'!$A:$A,AA$39,'FTE Calculator'!$C:$C,"Trestle",'FTE Calculator'!$F:$F,"phone"),SUMIFS('FTE Calculator'!$AP:$AP,'FTE Calculator'!$A:$A,AA$39,'FTE Calculator'!$C:$C,"Trestle",'FTE Calculator'!$F:$F,"phone"))</f>
        <v>0</v>
      </c>
      <c r="AB51" s="28">
        <f t="shared" si="13"/>
        <v>0</v>
      </c>
      <c r="AC51" s="27">
        <f>IF(AC$39&lt;DATE(2026,3,1),SUMIFS('FTE Calculator'!$AM:$AM,'FTE Calculator'!$A:$A,AC$39,'FTE Calculator'!$C:$C,"Trestle",'FTE Calculator'!$F:$F,"phone"),SUMIFS('FTE Calculator'!$AP:$AP,'FTE Calculator'!$A:$A,AC$39,'FTE Calculator'!$C:$C,"Trestle",'FTE Calculator'!$F:$F,"phone"))</f>
        <v>0</v>
      </c>
      <c r="AD51" s="27">
        <f>IF(AD$39&lt;DATE(2026,3,1),SUMIFS('FTE Calculator'!$AM:$AM,'FTE Calculator'!$A:$A,AD$39,'FTE Calculator'!$C:$C,"Trestle",'FTE Calculator'!$F:$F,"phone"),SUMIFS('FTE Calculator'!$AP:$AP,'FTE Calculator'!$A:$A,AD$39,'FTE Calculator'!$C:$C,"Trestle",'FTE Calculator'!$F:$F,"phone"))</f>
        <v>0</v>
      </c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</row>
    <row r="52" spans="1:700" x14ac:dyDescent="0.25">
      <c r="A52" s="17" t="s">
        <v>97</v>
      </c>
      <c r="B52" s="18" t="s">
        <v>89</v>
      </c>
      <c r="C52" s="20">
        <f t="shared" ref="C52:N52" si="14">SUM(C40:C51)</f>
        <v>7.27</v>
      </c>
      <c r="D52" s="20">
        <f t="shared" si="14"/>
        <v>5.4099999999999993</v>
      </c>
      <c r="E52" s="20">
        <f t="shared" si="14"/>
        <v>6.0600000000000005</v>
      </c>
      <c r="F52" s="20">
        <f t="shared" si="14"/>
        <v>4.5599999999999996</v>
      </c>
      <c r="G52" s="20">
        <f t="shared" si="14"/>
        <v>5.49</v>
      </c>
      <c r="H52" s="20">
        <f t="shared" si="14"/>
        <v>5.17</v>
      </c>
      <c r="I52" s="20">
        <f t="shared" si="14"/>
        <v>5.84</v>
      </c>
      <c r="J52" s="20">
        <f t="shared" si="14"/>
        <v>4.91</v>
      </c>
      <c r="K52" s="20">
        <f t="shared" si="14"/>
        <v>4.38</v>
      </c>
      <c r="L52" s="20">
        <f t="shared" si="14"/>
        <v>4.4000000000000004</v>
      </c>
      <c r="M52" s="20">
        <f t="shared" si="14"/>
        <v>4.4400000000000004</v>
      </c>
      <c r="N52" s="20">
        <f t="shared" si="14"/>
        <v>3.34</v>
      </c>
      <c r="O52" s="28">
        <f t="shared" si="12"/>
        <v>5.105833333333333</v>
      </c>
      <c r="P52" s="20">
        <f t="shared" ref="P52:AA52" si="15">SUM(P40:P51)</f>
        <v>3.23</v>
      </c>
      <c r="Q52" s="20">
        <f t="shared" si="15"/>
        <v>3.13</v>
      </c>
      <c r="R52" s="20">
        <f t="shared" si="15"/>
        <v>2.94</v>
      </c>
      <c r="S52" s="20">
        <f t="shared" si="15"/>
        <v>3.11</v>
      </c>
      <c r="T52" s="20">
        <f t="shared" si="15"/>
        <v>3.5999999999999996</v>
      </c>
      <c r="U52" s="20">
        <f t="shared" si="15"/>
        <v>3.5300000000000002</v>
      </c>
      <c r="V52" s="20">
        <f t="shared" si="15"/>
        <v>3.5500000000000003</v>
      </c>
      <c r="W52" s="20">
        <f t="shared" si="15"/>
        <v>3.57</v>
      </c>
      <c r="X52" s="20">
        <f t="shared" si="15"/>
        <v>3.69</v>
      </c>
      <c r="Y52" s="20">
        <f t="shared" si="15"/>
        <v>3.5999999999999996</v>
      </c>
      <c r="Z52" s="20">
        <f t="shared" si="15"/>
        <v>3.54</v>
      </c>
      <c r="AA52" s="20">
        <f t="shared" si="15"/>
        <v>3.6399999999999997</v>
      </c>
      <c r="AB52" s="28">
        <f t="shared" si="13"/>
        <v>3.4275000000000002</v>
      </c>
      <c r="AC52" s="20">
        <f>SUM(AC40:AC51)</f>
        <v>3.73</v>
      </c>
      <c r="AD52" s="20">
        <f>SUM(AD40:AD51)</f>
        <v>3.6999999999999997</v>
      </c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B22D-057E-4EE0-B57E-41C72140A22A}">
  <sheetPr codeName="Sheet1"/>
  <dimension ref="A1:AG130"/>
  <sheetViews>
    <sheetView showGridLines="0" workbookViewId="0">
      <selection activeCell="B3" sqref="B3"/>
    </sheetView>
  </sheetViews>
  <sheetFormatPr defaultRowHeight="15" x14ac:dyDescent="0.25"/>
  <cols>
    <col min="1" max="1" width="16.85546875" style="14" bestFit="1" customWidth="1"/>
    <col min="2" max="2" width="11.140625" style="14" bestFit="1" customWidth="1"/>
    <col min="3" max="3" width="19.7109375" style="14" bestFit="1" customWidth="1"/>
    <col min="4" max="4" width="16.28515625" style="14" bestFit="1" customWidth="1"/>
    <col min="5" max="5" width="25.140625" style="14" bestFit="1" customWidth="1"/>
    <col min="6" max="16384" width="9.140625" style="13"/>
  </cols>
  <sheetData>
    <row r="1" spans="1:33" x14ac:dyDescent="0.25">
      <c r="A1" s="16" t="s">
        <v>175</v>
      </c>
      <c r="B1" s="16" t="s">
        <v>151</v>
      </c>
      <c r="C1" s="16" t="s">
        <v>152</v>
      </c>
      <c r="D1" s="16" t="s">
        <v>153</v>
      </c>
      <c r="E1" s="16" t="s">
        <v>154</v>
      </c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</row>
    <row r="2" spans="1:33" x14ac:dyDescent="0.25">
      <c r="A2" s="21" t="s">
        <v>155</v>
      </c>
      <c r="B2" s="21" t="s">
        <v>156</v>
      </c>
      <c r="C2" s="21">
        <v>7</v>
      </c>
      <c r="D2" s="21">
        <v>8.5</v>
      </c>
      <c r="E2" s="21" t="s">
        <v>157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</row>
    <row r="3" spans="1:33" x14ac:dyDescent="0.25">
      <c r="A3" s="21" t="s">
        <v>162</v>
      </c>
      <c r="B3" s="21" t="s">
        <v>156</v>
      </c>
      <c r="C3" s="21">
        <v>10</v>
      </c>
      <c r="D3" s="21">
        <v>8.5</v>
      </c>
      <c r="E3" s="21" t="s">
        <v>169</v>
      </c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</row>
    <row r="4" spans="1:33" x14ac:dyDescent="0.25">
      <c r="A4" s="21" t="s">
        <v>158</v>
      </c>
      <c r="B4" s="21" t="s">
        <v>156</v>
      </c>
      <c r="C4" s="21">
        <v>15.5</v>
      </c>
      <c r="D4" s="21">
        <v>8.5</v>
      </c>
      <c r="E4" s="21" t="s">
        <v>159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</row>
    <row r="5" spans="1:33" x14ac:dyDescent="0.25">
      <c r="A5" s="21" t="s">
        <v>155</v>
      </c>
      <c r="B5" s="21" t="s">
        <v>160</v>
      </c>
      <c r="C5" s="21">
        <v>7</v>
      </c>
      <c r="D5" s="21">
        <v>8.5</v>
      </c>
      <c r="E5" s="21" t="s">
        <v>157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</row>
    <row r="6" spans="1:33" x14ac:dyDescent="0.25">
      <c r="A6" s="21" t="s">
        <v>162</v>
      </c>
      <c r="B6" s="21" t="s">
        <v>160</v>
      </c>
      <c r="C6" s="21">
        <v>10</v>
      </c>
      <c r="D6" s="21">
        <v>8.5</v>
      </c>
      <c r="E6" s="21" t="s">
        <v>169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</row>
    <row r="7" spans="1:33" x14ac:dyDescent="0.25">
      <c r="A7" s="21" t="s">
        <v>158</v>
      </c>
      <c r="B7" s="21" t="s">
        <v>160</v>
      </c>
      <c r="C7" s="21">
        <v>15.5</v>
      </c>
      <c r="D7" s="21">
        <v>8.5</v>
      </c>
      <c r="E7" s="21" t="s">
        <v>159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</row>
    <row r="8" spans="1:33" x14ac:dyDescent="0.25">
      <c r="A8" s="21" t="s">
        <v>155</v>
      </c>
      <c r="B8" s="21" t="s">
        <v>161</v>
      </c>
      <c r="C8" s="21">
        <v>7</v>
      </c>
      <c r="D8" s="21">
        <v>8.5</v>
      </c>
      <c r="E8" s="21" t="s">
        <v>157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</row>
    <row r="9" spans="1:33" x14ac:dyDescent="0.25">
      <c r="A9" s="21" t="s">
        <v>162</v>
      </c>
      <c r="B9" s="21" t="s">
        <v>161</v>
      </c>
      <c r="C9" s="21">
        <v>10</v>
      </c>
      <c r="D9" s="21">
        <v>8.5</v>
      </c>
      <c r="E9" s="21" t="s">
        <v>169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</row>
    <row r="10" spans="1:33" x14ac:dyDescent="0.25">
      <c r="A10" s="21" t="s">
        <v>170</v>
      </c>
      <c r="B10" s="21" t="s">
        <v>161</v>
      </c>
      <c r="C10" s="21">
        <v>12</v>
      </c>
      <c r="D10" s="21">
        <v>8.5</v>
      </c>
      <c r="E10" s="21" t="s">
        <v>171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</row>
    <row r="11" spans="1:33" x14ac:dyDescent="0.25">
      <c r="A11" s="21" t="s">
        <v>158</v>
      </c>
      <c r="B11" s="21" t="s">
        <v>161</v>
      </c>
      <c r="C11" s="21">
        <v>15.5</v>
      </c>
      <c r="D11" s="21">
        <v>8.5</v>
      </c>
      <c r="E11" s="21" t="s">
        <v>159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</row>
    <row r="12" spans="1:33" x14ac:dyDescent="0.25">
      <c r="A12" s="21" t="s">
        <v>155</v>
      </c>
      <c r="B12" s="21" t="s">
        <v>163</v>
      </c>
      <c r="C12" s="21">
        <v>7</v>
      </c>
      <c r="D12" s="21">
        <v>8.5</v>
      </c>
      <c r="E12" s="21" t="s">
        <v>157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</row>
    <row r="13" spans="1:33" x14ac:dyDescent="0.25">
      <c r="A13" s="21" t="s">
        <v>162</v>
      </c>
      <c r="B13" s="21" t="s">
        <v>163</v>
      </c>
      <c r="C13" s="21">
        <v>10</v>
      </c>
      <c r="D13" s="21">
        <v>8.5</v>
      </c>
      <c r="E13" s="21" t="s">
        <v>169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</row>
    <row r="14" spans="1:33" x14ac:dyDescent="0.25">
      <c r="A14" s="21" t="s">
        <v>170</v>
      </c>
      <c r="B14" s="21" t="s">
        <v>163</v>
      </c>
      <c r="C14" s="21">
        <v>12</v>
      </c>
      <c r="D14" s="21">
        <v>8.5</v>
      </c>
      <c r="E14" s="21" t="s">
        <v>171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</row>
    <row r="15" spans="1:33" x14ac:dyDescent="0.25">
      <c r="A15" s="21" t="s">
        <v>158</v>
      </c>
      <c r="B15" s="21" t="s">
        <v>163</v>
      </c>
      <c r="C15" s="21">
        <v>15.5</v>
      </c>
      <c r="D15" s="21">
        <v>8.5</v>
      </c>
      <c r="E15" s="21" t="s">
        <v>159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</row>
    <row r="16" spans="1:33" x14ac:dyDescent="0.25">
      <c r="A16" s="21" t="s">
        <v>155</v>
      </c>
      <c r="B16" s="21" t="s">
        <v>164</v>
      </c>
      <c r="C16" s="21">
        <v>7</v>
      </c>
      <c r="D16" s="21">
        <v>8.5</v>
      </c>
      <c r="E16" s="21" t="s">
        <v>157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</row>
    <row r="17" spans="1:33" x14ac:dyDescent="0.25">
      <c r="A17" s="21" t="s">
        <v>162</v>
      </c>
      <c r="B17" s="21" t="s">
        <v>164</v>
      </c>
      <c r="C17" s="21">
        <v>10</v>
      </c>
      <c r="D17" s="21">
        <v>8.5</v>
      </c>
      <c r="E17" s="21" t="s">
        <v>169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</row>
    <row r="18" spans="1:33" x14ac:dyDescent="0.25">
      <c r="A18" s="21" t="s">
        <v>170</v>
      </c>
      <c r="B18" s="21" t="s">
        <v>164</v>
      </c>
      <c r="C18" s="21">
        <v>12</v>
      </c>
      <c r="D18" s="21">
        <v>8.5</v>
      </c>
      <c r="E18" s="21" t="s">
        <v>171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</row>
    <row r="19" spans="1:33" x14ac:dyDescent="0.25">
      <c r="A19" s="21" t="s">
        <v>158</v>
      </c>
      <c r="B19" s="21" t="s">
        <v>164</v>
      </c>
      <c r="C19" s="21">
        <v>15.5</v>
      </c>
      <c r="D19" s="21">
        <v>8.5</v>
      </c>
      <c r="E19" s="21" t="s">
        <v>159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</row>
    <row r="20" spans="1:33" x14ac:dyDescent="0.25">
      <c r="A20" s="21" t="s">
        <v>170</v>
      </c>
      <c r="B20" s="21" t="s">
        <v>165</v>
      </c>
      <c r="C20" s="21">
        <v>7.5</v>
      </c>
      <c r="D20" s="21">
        <v>8.5</v>
      </c>
      <c r="E20" s="21" t="s">
        <v>166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</row>
    <row r="21" spans="1:33" x14ac:dyDescent="0.25">
      <c r="A21" s="21" t="s">
        <v>172</v>
      </c>
      <c r="B21" s="21" t="s">
        <v>165</v>
      </c>
      <c r="C21" s="21">
        <v>13.5</v>
      </c>
      <c r="D21" s="21">
        <v>8.5</v>
      </c>
      <c r="E21" s="21" t="s">
        <v>167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</row>
    <row r="22" spans="1:33" x14ac:dyDescent="0.25">
      <c r="A22" s="21" t="s">
        <v>170</v>
      </c>
      <c r="B22" s="21" t="s">
        <v>168</v>
      </c>
      <c r="C22" s="21">
        <v>7.5</v>
      </c>
      <c r="D22" s="21">
        <v>8.5</v>
      </c>
      <c r="E22" s="21" t="s">
        <v>166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</row>
    <row r="23" spans="1:33" x14ac:dyDescent="0.25">
      <c r="A23" s="21" t="s">
        <v>172</v>
      </c>
      <c r="B23" s="21" t="s">
        <v>168</v>
      </c>
      <c r="C23" s="21">
        <v>13.5</v>
      </c>
      <c r="D23" s="21">
        <v>8.5</v>
      </c>
      <c r="E23" s="21" t="s">
        <v>167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</row>
    <row r="24" spans="1:33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</row>
    <row r="25" spans="1:33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</row>
    <row r="26" spans="1:33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</row>
    <row r="27" spans="1:33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</row>
    <row r="28" spans="1:33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</row>
    <row r="29" spans="1:33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</row>
    <row r="30" spans="1:3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</row>
    <row r="31" spans="1:3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</row>
    <row r="32" spans="1:33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</row>
    <row r="33" spans="1:33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</row>
    <row r="34" spans="1:33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</row>
    <row r="35" spans="1:33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</row>
    <row r="36" spans="1:33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</row>
    <row r="37" spans="1:33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</row>
    <row r="38" spans="1:33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</row>
    <row r="39" spans="1:33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</row>
    <row r="40" spans="1:33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</row>
    <row r="41" spans="1:33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</row>
    <row r="42" spans="1:33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</row>
    <row r="43" spans="1:33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</row>
    <row r="44" spans="1:33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</row>
    <row r="45" spans="1:33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</row>
    <row r="46" spans="1:33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</row>
    <row r="47" spans="1:33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</row>
    <row r="48" spans="1:33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</row>
    <row r="49" spans="1:33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</row>
    <row r="50" spans="1:33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</row>
    <row r="51" spans="1:33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</row>
    <row r="52" spans="1:33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</row>
    <row r="53" spans="1:33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</row>
    <row r="54" spans="1:33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</row>
    <row r="55" spans="1:33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</row>
    <row r="56" spans="1:33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</row>
    <row r="57" spans="1:33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</row>
    <row r="58" spans="1:33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</row>
    <row r="59" spans="1:33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</row>
    <row r="60" spans="1:33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</row>
    <row r="61" spans="1:33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</row>
    <row r="62" spans="1:33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</row>
    <row r="63" spans="1:33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</row>
    <row r="64" spans="1:33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</row>
    <row r="65" spans="1:33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</row>
    <row r="66" spans="1:33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</row>
    <row r="67" spans="1:33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</row>
    <row r="68" spans="1:33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</row>
    <row r="69" spans="1:33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</row>
    <row r="70" spans="1:33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</row>
    <row r="71" spans="1:33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</row>
    <row r="72" spans="1:33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</row>
    <row r="73" spans="1:33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</row>
    <row r="74" spans="1:33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</row>
    <row r="75" spans="1:33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</row>
    <row r="76" spans="1:33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</row>
    <row r="77" spans="1:33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</row>
    <row r="78" spans="1:33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</row>
    <row r="79" spans="1:33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</row>
    <row r="80" spans="1:33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</row>
    <row r="81" spans="1:33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</row>
    <row r="82" spans="1:33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</row>
    <row r="83" spans="1:33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</row>
    <row r="84" spans="1:33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</row>
    <row r="85" spans="1:33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</row>
    <row r="86" spans="1:33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</row>
    <row r="87" spans="1:33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</row>
    <row r="88" spans="1:33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</row>
    <row r="89" spans="1:33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</row>
    <row r="90" spans="1:33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</row>
    <row r="91" spans="1:33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</row>
    <row r="92" spans="1:33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</row>
    <row r="93" spans="1:33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</row>
    <row r="94" spans="1:33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</row>
    <row r="95" spans="1:33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</row>
    <row r="96" spans="1:33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</row>
    <row r="97" spans="1:33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</row>
    <row r="98" spans="1:33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</row>
    <row r="99" spans="1:33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</row>
    <row r="100" spans="1:33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</row>
    <row r="101" spans="1:33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</row>
    <row r="102" spans="1:33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</row>
    <row r="103" spans="1:33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</row>
    <row r="104" spans="1:33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</row>
    <row r="105" spans="1:33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</row>
    <row r="106" spans="1:33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</row>
    <row r="107" spans="1:33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</row>
    <row r="108" spans="1:33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</row>
    <row r="109" spans="1:33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</row>
    <row r="110" spans="1:33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</row>
    <row r="111" spans="1:33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</row>
    <row r="112" spans="1:33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</row>
    <row r="113" spans="1:33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</row>
    <row r="114" spans="1:33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</row>
    <row r="115" spans="1:33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</row>
    <row r="116" spans="1:33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</row>
    <row r="117" spans="1:33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</row>
    <row r="118" spans="1:33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</row>
    <row r="119" spans="1:33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</row>
    <row r="120" spans="1:33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</row>
    <row r="121" spans="1:33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</row>
    <row r="122" spans="1:33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</row>
    <row r="123" spans="1:33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</row>
    <row r="124" spans="1:33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</row>
    <row r="125" spans="1:33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</row>
    <row r="126" spans="1:33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</row>
    <row r="127" spans="1:33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</row>
    <row r="128" spans="1:33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</row>
    <row r="129" spans="1:33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</row>
    <row r="130" spans="1:33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3799E-958B-4863-A4F6-4D16EDED7A70}">
  <sheetPr codeName="Sheet2" filterMode="1"/>
  <dimension ref="A1:AQ3822"/>
  <sheetViews>
    <sheetView workbookViewId="0">
      <selection activeCell="C187" sqref="C187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4" width="11.140625" bestFit="1" customWidth="1"/>
    <col min="5" max="5" width="10.7109375" bestFit="1" customWidth="1"/>
    <col min="6" max="6" width="6.5703125" bestFit="1" customWidth="1"/>
    <col min="7" max="7" width="17.42578125" bestFit="1" customWidth="1"/>
    <col min="8" max="8" width="14.28515625" bestFit="1" customWidth="1"/>
    <col min="9" max="9" width="13.85546875" bestFit="1" customWidth="1"/>
    <col min="10" max="10" width="16.42578125" bestFit="1" customWidth="1"/>
    <col min="11" max="11" width="20.28515625" bestFit="1" customWidth="1"/>
    <col min="12" max="12" width="10.85546875" bestFit="1" customWidth="1"/>
    <col min="13" max="13" width="18.7109375" bestFit="1" customWidth="1"/>
    <col min="14" max="14" width="22.7109375" bestFit="1" customWidth="1"/>
    <col min="15" max="15" width="31.85546875" bestFit="1" customWidth="1"/>
    <col min="16" max="16" width="12.85546875" bestFit="1" customWidth="1"/>
    <col min="17" max="17" width="9.28515625" bestFit="1" customWidth="1"/>
    <col min="18" max="18" width="19.85546875" bestFit="1" customWidth="1"/>
    <col min="19" max="19" width="19" bestFit="1" customWidth="1"/>
    <col min="20" max="20" width="17.28515625" bestFit="1" customWidth="1"/>
    <col min="21" max="21" width="18.140625" bestFit="1" customWidth="1"/>
    <col min="22" max="22" width="15.85546875" bestFit="1" customWidth="1"/>
    <col min="23" max="23" width="15" bestFit="1" customWidth="1"/>
    <col min="24" max="24" width="13.28515625" bestFit="1" customWidth="1"/>
    <col min="25" max="25" width="14.140625" bestFit="1" customWidth="1"/>
    <col min="26" max="26" width="32" bestFit="1" customWidth="1"/>
    <col min="27" max="27" width="28.28515625" bestFit="1" customWidth="1"/>
    <col min="28" max="28" width="28" bestFit="1" customWidth="1"/>
    <col min="29" max="29" width="34.140625" bestFit="1" customWidth="1"/>
    <col min="30" max="30" width="30.42578125" bestFit="1" customWidth="1"/>
    <col min="31" max="31" width="30.140625" bestFit="1" customWidth="1"/>
    <col min="32" max="32" width="10" bestFit="1" customWidth="1"/>
    <col min="33" max="33" width="14.5703125" bestFit="1" customWidth="1"/>
    <col min="34" max="34" width="18.85546875" bestFit="1" customWidth="1"/>
    <col min="35" max="35" width="13.5703125" bestFit="1" customWidth="1"/>
    <col min="36" max="36" width="19.140625" bestFit="1" customWidth="1"/>
    <col min="37" max="37" width="15.140625" bestFit="1" customWidth="1"/>
    <col min="38" max="38" width="19.85546875" bestFit="1" customWidth="1"/>
    <col min="39" max="39" width="16.140625" bestFit="1" customWidth="1"/>
    <col min="40" max="40" width="15.85546875" bestFit="1" customWidth="1"/>
    <col min="41" max="41" width="22" bestFit="1" customWidth="1"/>
    <col min="42" max="42" width="18.28515625" bestFit="1" customWidth="1"/>
    <col min="43" max="43" width="18" bestFit="1" customWidth="1"/>
  </cols>
  <sheetData>
    <row r="1" spans="1:4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126</v>
      </c>
      <c r="N1" t="s">
        <v>127</v>
      </c>
      <c r="O1" t="s">
        <v>128</v>
      </c>
      <c r="P1" t="s">
        <v>12</v>
      </c>
      <c r="Q1" t="s">
        <v>13</v>
      </c>
      <c r="R1" t="s">
        <v>129</v>
      </c>
      <c r="S1" t="s">
        <v>130</v>
      </c>
      <c r="T1" t="s">
        <v>131</v>
      </c>
      <c r="U1" t="s">
        <v>14</v>
      </c>
      <c r="V1" t="s">
        <v>132</v>
      </c>
      <c r="W1" t="s">
        <v>133</v>
      </c>
      <c r="X1" t="s">
        <v>134</v>
      </c>
      <c r="Y1" t="s">
        <v>15</v>
      </c>
      <c r="Z1" t="s">
        <v>16</v>
      </c>
      <c r="AA1" t="s">
        <v>17</v>
      </c>
      <c r="AB1" t="s">
        <v>135</v>
      </c>
      <c r="AC1" t="s">
        <v>18</v>
      </c>
      <c r="AD1" t="s">
        <v>19</v>
      </c>
      <c r="AE1" t="s">
        <v>136</v>
      </c>
      <c r="AF1" t="s">
        <v>20</v>
      </c>
      <c r="AG1" t="s">
        <v>21</v>
      </c>
      <c r="AH1" t="s">
        <v>22</v>
      </c>
      <c r="AI1" t="s">
        <v>23</v>
      </c>
      <c r="AJ1" t="s">
        <v>24</v>
      </c>
      <c r="AK1" t="s">
        <v>25</v>
      </c>
      <c r="AL1" t="s">
        <v>26</v>
      </c>
      <c r="AM1" t="s">
        <v>27</v>
      </c>
      <c r="AN1" t="s">
        <v>28</v>
      </c>
      <c r="AO1" t="s">
        <v>29</v>
      </c>
      <c r="AP1" t="s">
        <v>30</v>
      </c>
      <c r="AQ1" t="s">
        <v>31</v>
      </c>
    </row>
    <row r="2" spans="1:43" hidden="1" x14ac:dyDescent="0.25">
      <c r="A2" s="1">
        <v>45658</v>
      </c>
      <c r="B2" t="s">
        <v>32</v>
      </c>
      <c r="C2" t="s">
        <v>33</v>
      </c>
      <c r="D2" t="s">
        <v>33</v>
      </c>
      <c r="E2" t="s">
        <v>32</v>
      </c>
      <c r="F2" t="s">
        <v>34</v>
      </c>
      <c r="G2">
        <v>0</v>
      </c>
      <c r="H2">
        <v>174</v>
      </c>
      <c r="I2">
        <v>164</v>
      </c>
      <c r="J2">
        <v>0</v>
      </c>
      <c r="K2">
        <v>164</v>
      </c>
      <c r="L2">
        <v>565.38</v>
      </c>
      <c r="M2">
        <v>170</v>
      </c>
      <c r="N2">
        <v>141</v>
      </c>
      <c r="O2">
        <v>0.82940000000000003</v>
      </c>
      <c r="P2">
        <v>1</v>
      </c>
      <c r="Q2">
        <v>0</v>
      </c>
      <c r="R2">
        <v>0.7</v>
      </c>
      <c r="S2">
        <v>0.21</v>
      </c>
      <c r="T2">
        <v>0.03</v>
      </c>
      <c r="U2">
        <v>526.71</v>
      </c>
      <c r="V2">
        <v>0</v>
      </c>
      <c r="W2">
        <v>0</v>
      </c>
      <c r="X2">
        <v>0</v>
      </c>
      <c r="Y2">
        <v>565.38</v>
      </c>
      <c r="Z2">
        <v>27.33</v>
      </c>
      <c r="AA2">
        <v>0</v>
      </c>
      <c r="AB2">
        <v>27.33</v>
      </c>
      <c r="AC2">
        <v>25.76</v>
      </c>
      <c r="AD2">
        <v>0</v>
      </c>
      <c r="AE2">
        <v>25.76</v>
      </c>
      <c r="AF2">
        <v>31</v>
      </c>
      <c r="AG2">
        <v>23</v>
      </c>
      <c r="AH2">
        <v>8</v>
      </c>
      <c r="AI2">
        <v>2</v>
      </c>
      <c r="AJ2">
        <v>21</v>
      </c>
      <c r="AK2">
        <v>7.5</v>
      </c>
      <c r="AL2">
        <v>0.32</v>
      </c>
      <c r="AM2">
        <v>0</v>
      </c>
      <c r="AN2">
        <v>0.32</v>
      </c>
      <c r="AO2">
        <v>0.3</v>
      </c>
      <c r="AP2">
        <v>0</v>
      </c>
      <c r="AQ2">
        <v>0.3</v>
      </c>
    </row>
    <row r="3" spans="1:43" hidden="1" x14ac:dyDescent="0.25">
      <c r="A3" s="1">
        <v>45658</v>
      </c>
      <c r="B3" t="s">
        <v>32</v>
      </c>
      <c r="C3" t="s">
        <v>32</v>
      </c>
      <c r="D3" t="s">
        <v>32</v>
      </c>
      <c r="E3" t="s">
        <v>32</v>
      </c>
      <c r="F3" t="s">
        <v>35</v>
      </c>
      <c r="G3">
        <v>0</v>
      </c>
      <c r="H3">
        <v>442</v>
      </c>
      <c r="I3">
        <v>326</v>
      </c>
      <c r="J3">
        <v>0</v>
      </c>
      <c r="K3">
        <v>326</v>
      </c>
      <c r="L3">
        <v>1233.81</v>
      </c>
      <c r="M3">
        <v>258</v>
      </c>
      <c r="N3">
        <v>170</v>
      </c>
      <c r="O3">
        <v>0.65890000000000004</v>
      </c>
      <c r="P3">
        <v>1</v>
      </c>
      <c r="Q3">
        <v>0</v>
      </c>
      <c r="R3">
        <v>0.7</v>
      </c>
      <c r="S3">
        <v>0.21</v>
      </c>
      <c r="T3">
        <v>0.03</v>
      </c>
      <c r="U3">
        <v>1281.6099999999999</v>
      </c>
      <c r="V3">
        <v>0</v>
      </c>
      <c r="W3">
        <v>0</v>
      </c>
      <c r="X3">
        <v>0</v>
      </c>
      <c r="Y3">
        <v>1233.81</v>
      </c>
      <c r="Z3">
        <v>151.47999999999999</v>
      </c>
      <c r="AA3">
        <v>0</v>
      </c>
      <c r="AB3">
        <v>151.47999999999999</v>
      </c>
      <c r="AC3">
        <v>111.73</v>
      </c>
      <c r="AD3">
        <v>0</v>
      </c>
      <c r="AE3">
        <v>111.73</v>
      </c>
      <c r="AF3">
        <v>31</v>
      </c>
      <c r="AG3">
        <v>23</v>
      </c>
      <c r="AH3">
        <v>8</v>
      </c>
      <c r="AI3">
        <v>2</v>
      </c>
      <c r="AJ3">
        <v>21</v>
      </c>
      <c r="AK3">
        <v>7.5</v>
      </c>
      <c r="AL3">
        <v>1.79</v>
      </c>
      <c r="AM3">
        <v>0</v>
      </c>
      <c r="AN3">
        <v>1.79</v>
      </c>
      <c r="AO3">
        <v>1.32</v>
      </c>
      <c r="AP3">
        <v>0</v>
      </c>
      <c r="AQ3">
        <v>1.32</v>
      </c>
    </row>
    <row r="4" spans="1:43" hidden="1" x14ac:dyDescent="0.25">
      <c r="A4" s="1">
        <v>45658</v>
      </c>
      <c r="B4" t="s">
        <v>32</v>
      </c>
      <c r="C4" t="s">
        <v>36</v>
      </c>
      <c r="D4" t="s">
        <v>36</v>
      </c>
      <c r="E4" t="s">
        <v>32</v>
      </c>
      <c r="F4" t="s">
        <v>34</v>
      </c>
      <c r="G4">
        <v>0</v>
      </c>
      <c r="H4">
        <v>6</v>
      </c>
      <c r="I4">
        <v>6</v>
      </c>
      <c r="J4">
        <v>0</v>
      </c>
      <c r="K4">
        <v>6</v>
      </c>
      <c r="L4">
        <v>283.33</v>
      </c>
      <c r="M4">
        <v>6</v>
      </c>
      <c r="N4">
        <v>6</v>
      </c>
      <c r="O4">
        <v>1</v>
      </c>
      <c r="P4">
        <v>1</v>
      </c>
      <c r="Q4">
        <v>0</v>
      </c>
      <c r="R4">
        <v>0.7</v>
      </c>
      <c r="S4">
        <v>0.21</v>
      </c>
      <c r="T4">
        <v>0.03</v>
      </c>
      <c r="U4">
        <v>324.92</v>
      </c>
      <c r="V4">
        <v>0</v>
      </c>
      <c r="W4">
        <v>0</v>
      </c>
      <c r="X4">
        <v>0</v>
      </c>
      <c r="Y4">
        <v>283.33</v>
      </c>
      <c r="Z4">
        <v>0.47</v>
      </c>
      <c r="AA4">
        <v>0</v>
      </c>
      <c r="AB4">
        <v>0.47</v>
      </c>
      <c r="AC4">
        <v>0.47</v>
      </c>
      <c r="AD4">
        <v>0</v>
      </c>
      <c r="AE4">
        <v>0.47</v>
      </c>
      <c r="AF4">
        <v>31</v>
      </c>
      <c r="AG4">
        <v>23</v>
      </c>
      <c r="AH4">
        <v>8</v>
      </c>
      <c r="AI4">
        <v>2</v>
      </c>
      <c r="AJ4">
        <v>21</v>
      </c>
      <c r="AK4">
        <v>7.5</v>
      </c>
      <c r="AL4">
        <v>0.01</v>
      </c>
      <c r="AM4">
        <v>0</v>
      </c>
      <c r="AN4">
        <v>0.01</v>
      </c>
      <c r="AO4">
        <v>0.01</v>
      </c>
      <c r="AP4">
        <v>0</v>
      </c>
      <c r="AQ4">
        <v>0.01</v>
      </c>
    </row>
    <row r="5" spans="1:43" hidden="1" x14ac:dyDescent="0.25">
      <c r="A5" s="1">
        <v>45658</v>
      </c>
      <c r="B5" t="s">
        <v>32</v>
      </c>
      <c r="C5" t="s">
        <v>37</v>
      </c>
      <c r="D5" t="s">
        <v>37</v>
      </c>
      <c r="E5" t="s">
        <v>32</v>
      </c>
      <c r="F5" t="s">
        <v>34</v>
      </c>
      <c r="G5">
        <v>0</v>
      </c>
      <c r="H5">
        <v>2</v>
      </c>
      <c r="I5">
        <v>1</v>
      </c>
      <c r="J5">
        <v>0</v>
      </c>
      <c r="K5">
        <v>1</v>
      </c>
      <c r="L5">
        <v>952</v>
      </c>
      <c r="M5">
        <v>2</v>
      </c>
      <c r="N5">
        <v>2</v>
      </c>
      <c r="O5">
        <v>1</v>
      </c>
      <c r="P5">
        <v>1</v>
      </c>
      <c r="Q5">
        <v>0</v>
      </c>
      <c r="R5">
        <v>0.7</v>
      </c>
      <c r="S5">
        <v>0.21</v>
      </c>
      <c r="T5">
        <v>0.03</v>
      </c>
      <c r="U5">
        <v>749.1</v>
      </c>
      <c r="V5">
        <v>0</v>
      </c>
      <c r="W5">
        <v>0</v>
      </c>
      <c r="X5">
        <v>0</v>
      </c>
      <c r="Y5">
        <v>952</v>
      </c>
      <c r="Z5">
        <v>0.53</v>
      </c>
      <c r="AA5">
        <v>0</v>
      </c>
      <c r="AB5">
        <v>0.53</v>
      </c>
      <c r="AC5">
        <v>0.26</v>
      </c>
      <c r="AD5">
        <v>0</v>
      </c>
      <c r="AE5">
        <v>0.26</v>
      </c>
      <c r="AF5">
        <v>31</v>
      </c>
      <c r="AG5">
        <v>23</v>
      </c>
      <c r="AH5">
        <v>8</v>
      </c>
      <c r="AI5">
        <v>2</v>
      </c>
      <c r="AJ5">
        <v>21</v>
      </c>
      <c r="AK5">
        <v>7.5</v>
      </c>
      <c r="AL5">
        <v>0.01</v>
      </c>
      <c r="AM5">
        <v>0</v>
      </c>
      <c r="AN5">
        <v>0.01</v>
      </c>
      <c r="AO5">
        <v>0</v>
      </c>
      <c r="AP5">
        <v>0</v>
      </c>
      <c r="AQ5">
        <v>0</v>
      </c>
    </row>
    <row r="6" spans="1:43" hidden="1" x14ac:dyDescent="0.25">
      <c r="A6" s="1">
        <v>45658</v>
      </c>
      <c r="B6" t="s">
        <v>32</v>
      </c>
      <c r="C6" t="s">
        <v>38</v>
      </c>
      <c r="D6" t="s">
        <v>38</v>
      </c>
      <c r="E6" t="s">
        <v>32</v>
      </c>
      <c r="F6" t="s">
        <v>34</v>
      </c>
      <c r="G6">
        <v>0</v>
      </c>
      <c r="H6">
        <v>7152</v>
      </c>
      <c r="I6">
        <v>5345</v>
      </c>
      <c r="J6">
        <v>0</v>
      </c>
      <c r="K6">
        <v>5345</v>
      </c>
      <c r="L6">
        <v>593.21</v>
      </c>
      <c r="M6">
        <v>6825</v>
      </c>
      <c r="N6">
        <v>5387</v>
      </c>
      <c r="O6">
        <v>0.7893</v>
      </c>
      <c r="P6">
        <v>0.48749999999999999</v>
      </c>
      <c r="Q6">
        <v>0.51249999999999996</v>
      </c>
      <c r="R6">
        <v>0.7</v>
      </c>
      <c r="S6">
        <v>0.21</v>
      </c>
      <c r="T6">
        <v>0.03</v>
      </c>
      <c r="U6">
        <v>640.44000000000005</v>
      </c>
      <c r="V6">
        <v>0.7</v>
      </c>
      <c r="W6">
        <v>0.21</v>
      </c>
      <c r="X6">
        <v>0.03</v>
      </c>
      <c r="Y6">
        <v>593.21</v>
      </c>
      <c r="Z6">
        <v>574.52</v>
      </c>
      <c r="AA6">
        <v>603.99</v>
      </c>
      <c r="AB6">
        <v>1178.51</v>
      </c>
      <c r="AC6">
        <v>429.37</v>
      </c>
      <c r="AD6">
        <v>451.39</v>
      </c>
      <c r="AE6">
        <v>880.75</v>
      </c>
      <c r="AF6">
        <v>31</v>
      </c>
      <c r="AG6">
        <v>23</v>
      </c>
      <c r="AH6">
        <v>8</v>
      </c>
      <c r="AI6">
        <v>2</v>
      </c>
      <c r="AJ6">
        <v>21</v>
      </c>
      <c r="AK6">
        <v>7.5</v>
      </c>
      <c r="AL6">
        <v>6.79</v>
      </c>
      <c r="AM6">
        <v>7.14</v>
      </c>
      <c r="AN6">
        <v>13.93</v>
      </c>
      <c r="AO6">
        <v>5.08</v>
      </c>
      <c r="AP6">
        <v>5.34</v>
      </c>
      <c r="AQ6">
        <v>10.42</v>
      </c>
    </row>
    <row r="7" spans="1:43" hidden="1" x14ac:dyDescent="0.25">
      <c r="A7" s="1">
        <v>45658</v>
      </c>
      <c r="B7" t="s">
        <v>32</v>
      </c>
      <c r="C7" t="s">
        <v>39</v>
      </c>
      <c r="D7" t="s">
        <v>39</v>
      </c>
      <c r="E7" t="s">
        <v>32</v>
      </c>
      <c r="F7" t="s">
        <v>34</v>
      </c>
      <c r="G7">
        <v>0</v>
      </c>
      <c r="H7">
        <v>719</v>
      </c>
      <c r="I7">
        <v>119</v>
      </c>
      <c r="J7">
        <v>0</v>
      </c>
      <c r="K7">
        <v>119</v>
      </c>
      <c r="L7">
        <v>599.80999999999995</v>
      </c>
      <c r="M7">
        <v>719</v>
      </c>
      <c r="N7">
        <v>479</v>
      </c>
      <c r="O7">
        <v>0.66620000000000001</v>
      </c>
      <c r="P7">
        <v>1</v>
      </c>
      <c r="Q7">
        <v>0</v>
      </c>
      <c r="R7">
        <v>0.7</v>
      </c>
      <c r="S7">
        <v>0.21</v>
      </c>
      <c r="T7">
        <v>0.03</v>
      </c>
      <c r="U7">
        <v>642.91</v>
      </c>
      <c r="V7">
        <v>0</v>
      </c>
      <c r="W7">
        <v>0</v>
      </c>
      <c r="X7">
        <v>0</v>
      </c>
      <c r="Y7">
        <v>599.80999999999995</v>
      </c>
      <c r="Z7">
        <v>119.8</v>
      </c>
      <c r="AA7">
        <v>0</v>
      </c>
      <c r="AB7">
        <v>119.8</v>
      </c>
      <c r="AC7">
        <v>19.829999999999998</v>
      </c>
      <c r="AD7">
        <v>0</v>
      </c>
      <c r="AE7">
        <v>19.829999999999998</v>
      </c>
      <c r="AF7">
        <v>31</v>
      </c>
      <c r="AG7">
        <v>23</v>
      </c>
      <c r="AH7">
        <v>8</v>
      </c>
      <c r="AI7">
        <v>2</v>
      </c>
      <c r="AJ7">
        <v>21</v>
      </c>
      <c r="AK7">
        <v>7.5</v>
      </c>
      <c r="AL7">
        <v>1.42</v>
      </c>
      <c r="AM7">
        <v>0</v>
      </c>
      <c r="AN7">
        <v>1.42</v>
      </c>
      <c r="AO7">
        <v>0.23</v>
      </c>
      <c r="AP7">
        <v>0</v>
      </c>
      <c r="AQ7">
        <v>0.23</v>
      </c>
    </row>
    <row r="8" spans="1:43" hidden="1" x14ac:dyDescent="0.25">
      <c r="A8" s="1">
        <v>45658</v>
      </c>
      <c r="B8" t="s">
        <v>32</v>
      </c>
      <c r="C8" t="s">
        <v>40</v>
      </c>
      <c r="D8" t="s">
        <v>40</v>
      </c>
      <c r="E8" t="s">
        <v>32</v>
      </c>
      <c r="F8" t="s">
        <v>34</v>
      </c>
      <c r="G8">
        <v>0</v>
      </c>
      <c r="H8">
        <v>57</v>
      </c>
      <c r="I8">
        <v>32</v>
      </c>
      <c r="J8">
        <v>0</v>
      </c>
      <c r="K8">
        <v>32</v>
      </c>
      <c r="L8">
        <v>737.64</v>
      </c>
      <c r="M8">
        <v>56</v>
      </c>
      <c r="N8">
        <v>47</v>
      </c>
      <c r="O8">
        <v>0.83930000000000005</v>
      </c>
      <c r="P8">
        <v>6.8199999999999997E-2</v>
      </c>
      <c r="Q8">
        <v>0.93179999999999996</v>
      </c>
      <c r="R8">
        <v>0.7</v>
      </c>
      <c r="S8">
        <v>0.21</v>
      </c>
      <c r="T8">
        <v>0.03</v>
      </c>
      <c r="U8">
        <v>879.96</v>
      </c>
      <c r="V8">
        <v>0.7</v>
      </c>
      <c r="W8">
        <v>0.21</v>
      </c>
      <c r="X8">
        <v>0.03</v>
      </c>
      <c r="Y8">
        <v>737.64</v>
      </c>
      <c r="Z8">
        <v>0.8</v>
      </c>
      <c r="AA8">
        <v>10.88</v>
      </c>
      <c r="AB8">
        <v>11.68</v>
      </c>
      <c r="AC8">
        <v>0.45</v>
      </c>
      <c r="AD8">
        <v>6.11</v>
      </c>
      <c r="AE8">
        <v>6.56</v>
      </c>
      <c r="AF8">
        <v>31</v>
      </c>
      <c r="AG8">
        <v>23</v>
      </c>
      <c r="AH8">
        <v>8</v>
      </c>
      <c r="AI8">
        <v>2</v>
      </c>
      <c r="AJ8">
        <v>21</v>
      </c>
      <c r="AK8">
        <v>7.5</v>
      </c>
      <c r="AL8">
        <v>0.01</v>
      </c>
      <c r="AM8">
        <v>0.13</v>
      </c>
      <c r="AN8">
        <v>0.14000000000000001</v>
      </c>
      <c r="AO8">
        <v>0.01</v>
      </c>
      <c r="AP8">
        <v>7.0000000000000007E-2</v>
      </c>
      <c r="AQ8">
        <v>0.08</v>
      </c>
    </row>
    <row r="9" spans="1:43" hidden="1" x14ac:dyDescent="0.25">
      <c r="A9" s="1">
        <v>45658</v>
      </c>
      <c r="B9" t="s">
        <v>32</v>
      </c>
      <c r="C9" t="s">
        <v>41</v>
      </c>
      <c r="D9" t="s">
        <v>41</v>
      </c>
      <c r="E9" t="s">
        <v>32</v>
      </c>
      <c r="F9" t="s">
        <v>34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t="s">
        <v>125</v>
      </c>
      <c r="Z9">
        <v>0</v>
      </c>
      <c r="AA9" t="s">
        <v>125</v>
      </c>
      <c r="AB9" t="s">
        <v>125</v>
      </c>
      <c r="AC9">
        <v>0</v>
      </c>
      <c r="AD9" t="s">
        <v>125</v>
      </c>
      <c r="AE9" t="s">
        <v>125</v>
      </c>
      <c r="AF9">
        <v>31</v>
      </c>
      <c r="AG9">
        <v>23</v>
      </c>
      <c r="AH9">
        <v>8</v>
      </c>
      <c r="AI9">
        <v>2</v>
      </c>
      <c r="AJ9">
        <v>21</v>
      </c>
      <c r="AK9">
        <v>7.5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3" hidden="1" x14ac:dyDescent="0.25">
      <c r="A10" s="1">
        <v>45658</v>
      </c>
      <c r="B10" t="s">
        <v>32</v>
      </c>
      <c r="C10" t="s">
        <v>42</v>
      </c>
      <c r="D10" t="s">
        <v>42</v>
      </c>
      <c r="E10" t="s">
        <v>32</v>
      </c>
      <c r="F10" t="s">
        <v>34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125</v>
      </c>
      <c r="Z10">
        <v>0</v>
      </c>
      <c r="AA10" t="s">
        <v>125</v>
      </c>
      <c r="AB10" t="s">
        <v>125</v>
      </c>
      <c r="AC10">
        <v>0</v>
      </c>
      <c r="AD10" t="s">
        <v>125</v>
      </c>
      <c r="AE10" t="s">
        <v>125</v>
      </c>
      <c r="AF10">
        <v>31</v>
      </c>
      <c r="AG10">
        <v>23</v>
      </c>
      <c r="AH10">
        <v>8</v>
      </c>
      <c r="AI10">
        <v>2</v>
      </c>
      <c r="AJ10">
        <v>21</v>
      </c>
      <c r="AK10">
        <v>7.5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3" hidden="1" x14ac:dyDescent="0.25">
      <c r="A11" s="1">
        <v>45658</v>
      </c>
      <c r="B11" t="s">
        <v>32</v>
      </c>
      <c r="C11" t="s">
        <v>43</v>
      </c>
      <c r="D11" t="s">
        <v>43</v>
      </c>
      <c r="E11" t="s">
        <v>32</v>
      </c>
      <c r="F11" t="s">
        <v>34</v>
      </c>
      <c r="G11">
        <v>0</v>
      </c>
      <c r="H11">
        <v>3</v>
      </c>
      <c r="I11">
        <v>2</v>
      </c>
      <c r="J11">
        <v>0</v>
      </c>
      <c r="K11">
        <v>2</v>
      </c>
      <c r="L11">
        <v>638.33000000000004</v>
      </c>
      <c r="M11">
        <v>3</v>
      </c>
      <c r="N11">
        <v>2</v>
      </c>
      <c r="O11">
        <v>0.66669999999999996</v>
      </c>
      <c r="P11">
        <v>1</v>
      </c>
      <c r="Q11">
        <v>0</v>
      </c>
      <c r="R11">
        <v>0.7</v>
      </c>
      <c r="S11">
        <v>0.21</v>
      </c>
      <c r="T11">
        <v>0.03</v>
      </c>
      <c r="U11">
        <v>550.64</v>
      </c>
      <c r="V11">
        <v>0</v>
      </c>
      <c r="W11">
        <v>0</v>
      </c>
      <c r="X11">
        <v>0</v>
      </c>
      <c r="Y11">
        <v>638.33000000000004</v>
      </c>
      <c r="Z11">
        <v>0.53</v>
      </c>
      <c r="AA11">
        <v>0</v>
      </c>
      <c r="AB11">
        <v>0.53</v>
      </c>
      <c r="AC11">
        <v>0.35</v>
      </c>
      <c r="AD11">
        <v>0</v>
      </c>
      <c r="AE11">
        <v>0.35</v>
      </c>
      <c r="AF11">
        <v>31</v>
      </c>
      <c r="AG11">
        <v>23</v>
      </c>
      <c r="AH11">
        <v>8</v>
      </c>
      <c r="AI11">
        <v>2</v>
      </c>
      <c r="AJ11">
        <v>21</v>
      </c>
      <c r="AK11">
        <v>7.5</v>
      </c>
      <c r="AL11">
        <v>0.01</v>
      </c>
      <c r="AM11">
        <v>0</v>
      </c>
      <c r="AN11">
        <v>0.01</v>
      </c>
      <c r="AO11">
        <v>0</v>
      </c>
      <c r="AP11">
        <v>0</v>
      </c>
      <c r="AQ11">
        <v>0</v>
      </c>
    </row>
    <row r="12" spans="1:43" hidden="1" x14ac:dyDescent="0.25">
      <c r="A12" s="1">
        <v>45658</v>
      </c>
      <c r="B12" t="s">
        <v>32</v>
      </c>
      <c r="C12" t="s">
        <v>44</v>
      </c>
      <c r="D12" t="s">
        <v>44</v>
      </c>
      <c r="E12" t="s">
        <v>32</v>
      </c>
      <c r="F12" t="s">
        <v>34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0</v>
      </c>
      <c r="R12">
        <v>0.7</v>
      </c>
      <c r="S12">
        <v>0.21</v>
      </c>
      <c r="T12">
        <v>0.03</v>
      </c>
      <c r="U12">
        <v>727.13</v>
      </c>
      <c r="V12">
        <v>0</v>
      </c>
      <c r="W12">
        <v>0</v>
      </c>
      <c r="X12">
        <v>0</v>
      </c>
      <c r="Y12" t="s">
        <v>125</v>
      </c>
      <c r="Z12">
        <v>0</v>
      </c>
      <c r="AA12" t="s">
        <v>125</v>
      </c>
      <c r="AB12" t="s">
        <v>125</v>
      </c>
      <c r="AC12">
        <v>0</v>
      </c>
      <c r="AD12" t="s">
        <v>125</v>
      </c>
      <c r="AE12" t="s">
        <v>125</v>
      </c>
      <c r="AF12">
        <v>31</v>
      </c>
      <c r="AG12">
        <v>23</v>
      </c>
      <c r="AH12">
        <v>8</v>
      </c>
      <c r="AI12">
        <v>2</v>
      </c>
      <c r="AJ12">
        <v>21</v>
      </c>
      <c r="AK12">
        <v>7.5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3" hidden="1" x14ac:dyDescent="0.25">
      <c r="A13" s="1">
        <v>45689</v>
      </c>
      <c r="B13" t="s">
        <v>32</v>
      </c>
      <c r="C13" t="s">
        <v>33</v>
      </c>
      <c r="D13" t="s">
        <v>33</v>
      </c>
      <c r="E13" t="s">
        <v>32</v>
      </c>
      <c r="F13" t="s">
        <v>34</v>
      </c>
      <c r="G13">
        <v>0</v>
      </c>
      <c r="H13">
        <v>40</v>
      </c>
      <c r="I13">
        <v>34</v>
      </c>
      <c r="J13">
        <v>0</v>
      </c>
      <c r="K13">
        <v>34</v>
      </c>
      <c r="L13">
        <v>410.9</v>
      </c>
      <c r="M13">
        <v>39</v>
      </c>
      <c r="N13">
        <v>35</v>
      </c>
      <c r="O13">
        <v>0.89739999999999998</v>
      </c>
      <c r="P13">
        <v>1</v>
      </c>
      <c r="Q13">
        <v>0</v>
      </c>
      <c r="R13">
        <v>0.7</v>
      </c>
      <c r="S13">
        <v>0.21</v>
      </c>
      <c r="T13">
        <v>0.03</v>
      </c>
      <c r="U13">
        <v>547.75</v>
      </c>
      <c r="V13">
        <v>0</v>
      </c>
      <c r="W13">
        <v>0</v>
      </c>
      <c r="X13">
        <v>0</v>
      </c>
      <c r="Y13">
        <v>410.9</v>
      </c>
      <c r="Z13">
        <v>4.57</v>
      </c>
      <c r="AA13">
        <v>0</v>
      </c>
      <c r="AB13">
        <v>4.57</v>
      </c>
      <c r="AC13">
        <v>3.88</v>
      </c>
      <c r="AD13">
        <v>0</v>
      </c>
      <c r="AE13">
        <v>3.88</v>
      </c>
      <c r="AF13">
        <v>28</v>
      </c>
      <c r="AG13">
        <v>20</v>
      </c>
      <c r="AH13">
        <v>8</v>
      </c>
      <c r="AI13">
        <v>1</v>
      </c>
      <c r="AJ13">
        <v>19</v>
      </c>
      <c r="AK13">
        <v>7.5</v>
      </c>
      <c r="AL13">
        <v>0.06</v>
      </c>
      <c r="AM13">
        <v>0</v>
      </c>
      <c r="AN13">
        <v>0.06</v>
      </c>
      <c r="AO13">
        <v>0.05</v>
      </c>
      <c r="AP13">
        <v>0</v>
      </c>
      <c r="AQ13">
        <v>0.05</v>
      </c>
    </row>
    <row r="14" spans="1:43" hidden="1" x14ac:dyDescent="0.25">
      <c r="A14" s="1">
        <v>45689</v>
      </c>
      <c r="B14" t="s">
        <v>32</v>
      </c>
      <c r="C14" t="s">
        <v>32</v>
      </c>
      <c r="D14" t="s">
        <v>32</v>
      </c>
      <c r="E14" t="s">
        <v>32</v>
      </c>
      <c r="F14" t="s">
        <v>35</v>
      </c>
      <c r="G14">
        <v>0</v>
      </c>
      <c r="H14">
        <v>368</v>
      </c>
      <c r="I14">
        <v>308</v>
      </c>
      <c r="J14">
        <v>0</v>
      </c>
      <c r="K14">
        <v>308</v>
      </c>
      <c r="L14">
        <v>1232.8</v>
      </c>
      <c r="M14">
        <v>253</v>
      </c>
      <c r="N14">
        <v>164</v>
      </c>
      <c r="O14">
        <v>0.6482</v>
      </c>
      <c r="P14">
        <v>1</v>
      </c>
      <c r="Q14">
        <v>0</v>
      </c>
      <c r="R14">
        <v>0.7</v>
      </c>
      <c r="S14">
        <v>0.21</v>
      </c>
      <c r="T14">
        <v>0.03</v>
      </c>
      <c r="U14">
        <v>1304.24</v>
      </c>
      <c r="V14">
        <v>0</v>
      </c>
      <c r="W14">
        <v>0</v>
      </c>
      <c r="X14">
        <v>0</v>
      </c>
      <c r="Y14">
        <v>1232.8</v>
      </c>
      <c r="Z14">
        <v>126.02</v>
      </c>
      <c r="AA14">
        <v>0</v>
      </c>
      <c r="AB14">
        <v>126.02</v>
      </c>
      <c r="AC14">
        <v>105.47</v>
      </c>
      <c r="AD14">
        <v>0</v>
      </c>
      <c r="AE14">
        <v>105.47</v>
      </c>
      <c r="AF14">
        <v>28</v>
      </c>
      <c r="AG14">
        <v>20</v>
      </c>
      <c r="AH14">
        <v>8</v>
      </c>
      <c r="AI14">
        <v>1</v>
      </c>
      <c r="AJ14">
        <v>19</v>
      </c>
      <c r="AK14">
        <v>7.5</v>
      </c>
      <c r="AL14">
        <v>1.65</v>
      </c>
      <c r="AM14">
        <v>0</v>
      </c>
      <c r="AN14">
        <v>1.65</v>
      </c>
      <c r="AO14">
        <v>1.38</v>
      </c>
      <c r="AP14">
        <v>0</v>
      </c>
      <c r="AQ14">
        <v>1.38</v>
      </c>
    </row>
    <row r="15" spans="1:43" hidden="1" x14ac:dyDescent="0.25">
      <c r="A15" s="1">
        <v>45689</v>
      </c>
      <c r="B15" t="s">
        <v>32</v>
      </c>
      <c r="C15" t="s">
        <v>36</v>
      </c>
      <c r="D15" t="s">
        <v>36</v>
      </c>
      <c r="E15" t="s">
        <v>32</v>
      </c>
      <c r="F15" t="s">
        <v>34</v>
      </c>
      <c r="G15">
        <v>0</v>
      </c>
      <c r="H15">
        <v>7</v>
      </c>
      <c r="I15">
        <v>4</v>
      </c>
      <c r="J15">
        <v>0</v>
      </c>
      <c r="K15">
        <v>4</v>
      </c>
      <c r="L15">
        <v>500.71</v>
      </c>
      <c r="M15">
        <v>7</v>
      </c>
      <c r="N15">
        <v>7</v>
      </c>
      <c r="O15">
        <v>1</v>
      </c>
      <c r="P15">
        <v>1</v>
      </c>
      <c r="Q15">
        <v>0</v>
      </c>
      <c r="R15">
        <v>0.7</v>
      </c>
      <c r="S15">
        <v>0.21</v>
      </c>
      <c r="T15">
        <v>0.03</v>
      </c>
      <c r="U15">
        <v>286.74</v>
      </c>
      <c r="V15">
        <v>0</v>
      </c>
      <c r="W15">
        <v>0</v>
      </c>
      <c r="X15">
        <v>0</v>
      </c>
      <c r="Y15">
        <v>500.71</v>
      </c>
      <c r="Z15">
        <v>0.97</v>
      </c>
      <c r="AA15">
        <v>0</v>
      </c>
      <c r="AB15">
        <v>0.97</v>
      </c>
      <c r="AC15">
        <v>0.56000000000000005</v>
      </c>
      <c r="AD15">
        <v>0</v>
      </c>
      <c r="AE15">
        <v>0.56000000000000005</v>
      </c>
      <c r="AF15">
        <v>28</v>
      </c>
      <c r="AG15">
        <v>20</v>
      </c>
      <c r="AH15">
        <v>8</v>
      </c>
      <c r="AI15">
        <v>1</v>
      </c>
      <c r="AJ15">
        <v>19</v>
      </c>
      <c r="AK15">
        <v>7.5</v>
      </c>
      <c r="AL15">
        <v>0.01</v>
      </c>
      <c r="AM15">
        <v>0</v>
      </c>
      <c r="AN15">
        <v>0.01</v>
      </c>
      <c r="AO15">
        <v>0.01</v>
      </c>
      <c r="AP15">
        <v>0</v>
      </c>
      <c r="AQ15">
        <v>0.01</v>
      </c>
    </row>
    <row r="16" spans="1:43" hidden="1" x14ac:dyDescent="0.25">
      <c r="A16" s="1">
        <v>45689</v>
      </c>
      <c r="B16" t="s">
        <v>32</v>
      </c>
      <c r="C16" t="s">
        <v>37</v>
      </c>
      <c r="D16" t="s">
        <v>37</v>
      </c>
      <c r="E16" t="s">
        <v>32</v>
      </c>
      <c r="F16" t="s">
        <v>34</v>
      </c>
      <c r="G16">
        <v>0</v>
      </c>
      <c r="H16">
        <v>3</v>
      </c>
      <c r="I16">
        <v>0</v>
      </c>
      <c r="J16">
        <v>0</v>
      </c>
      <c r="K16">
        <v>0</v>
      </c>
      <c r="L16">
        <v>733</v>
      </c>
      <c r="M16">
        <v>3</v>
      </c>
      <c r="N16">
        <v>3</v>
      </c>
      <c r="O16">
        <v>1</v>
      </c>
      <c r="P16">
        <v>1</v>
      </c>
      <c r="Q16">
        <v>0</v>
      </c>
      <c r="R16">
        <v>0.7</v>
      </c>
      <c r="S16">
        <v>0.21</v>
      </c>
      <c r="T16">
        <v>0.03</v>
      </c>
      <c r="U16">
        <v>1007.1</v>
      </c>
      <c r="V16">
        <v>0</v>
      </c>
      <c r="W16">
        <v>0</v>
      </c>
      <c r="X16">
        <v>0</v>
      </c>
      <c r="Y16">
        <v>733</v>
      </c>
      <c r="Z16">
        <v>0.61</v>
      </c>
      <c r="AA16">
        <v>0</v>
      </c>
      <c r="AB16">
        <v>0.61</v>
      </c>
      <c r="AC16">
        <v>0</v>
      </c>
      <c r="AD16">
        <v>0</v>
      </c>
      <c r="AE16">
        <v>0</v>
      </c>
      <c r="AF16">
        <v>28</v>
      </c>
      <c r="AG16">
        <v>20</v>
      </c>
      <c r="AH16">
        <v>8</v>
      </c>
      <c r="AI16">
        <v>1</v>
      </c>
      <c r="AJ16">
        <v>19</v>
      </c>
      <c r="AK16">
        <v>7.5</v>
      </c>
      <c r="AL16">
        <v>0.01</v>
      </c>
      <c r="AM16">
        <v>0</v>
      </c>
      <c r="AN16">
        <v>0.01</v>
      </c>
      <c r="AO16">
        <v>0</v>
      </c>
      <c r="AP16">
        <v>0</v>
      </c>
      <c r="AQ16">
        <v>0</v>
      </c>
    </row>
    <row r="17" spans="1:43" hidden="1" x14ac:dyDescent="0.25">
      <c r="A17" s="1">
        <v>45689</v>
      </c>
      <c r="B17" t="s">
        <v>32</v>
      </c>
      <c r="C17" t="s">
        <v>38</v>
      </c>
      <c r="D17" t="s">
        <v>38</v>
      </c>
      <c r="E17" t="s">
        <v>32</v>
      </c>
      <c r="F17" t="s">
        <v>34</v>
      </c>
      <c r="G17">
        <v>0</v>
      </c>
      <c r="H17">
        <v>5224</v>
      </c>
      <c r="I17">
        <v>4697</v>
      </c>
      <c r="J17">
        <v>0</v>
      </c>
      <c r="K17">
        <v>4697</v>
      </c>
      <c r="L17">
        <v>593.84</v>
      </c>
      <c r="M17">
        <v>5096</v>
      </c>
      <c r="N17">
        <v>4574</v>
      </c>
      <c r="O17">
        <v>0.89759999999999995</v>
      </c>
      <c r="P17">
        <v>0.52859999999999996</v>
      </c>
      <c r="Q17">
        <v>0.47139999999999999</v>
      </c>
      <c r="R17">
        <v>0.7</v>
      </c>
      <c r="S17">
        <v>0.21</v>
      </c>
      <c r="T17">
        <v>0.03</v>
      </c>
      <c r="U17">
        <v>653.74</v>
      </c>
      <c r="V17">
        <v>0.7</v>
      </c>
      <c r="W17">
        <v>0.21</v>
      </c>
      <c r="X17">
        <v>0.03</v>
      </c>
      <c r="Y17">
        <v>593.84</v>
      </c>
      <c r="Z17">
        <v>455.51</v>
      </c>
      <c r="AA17">
        <v>406.22</v>
      </c>
      <c r="AB17">
        <v>861.73</v>
      </c>
      <c r="AC17">
        <v>409.56</v>
      </c>
      <c r="AD17">
        <v>365.24</v>
      </c>
      <c r="AE17">
        <v>774.8</v>
      </c>
      <c r="AF17">
        <v>28</v>
      </c>
      <c r="AG17">
        <v>20</v>
      </c>
      <c r="AH17">
        <v>8</v>
      </c>
      <c r="AI17">
        <v>1</v>
      </c>
      <c r="AJ17">
        <v>19</v>
      </c>
      <c r="AK17">
        <v>7.5</v>
      </c>
      <c r="AL17">
        <v>5.95</v>
      </c>
      <c r="AM17">
        <v>5.31</v>
      </c>
      <c r="AN17">
        <v>11.26</v>
      </c>
      <c r="AO17">
        <v>5.35</v>
      </c>
      <c r="AP17">
        <v>4.7699999999999996</v>
      </c>
      <c r="AQ17">
        <v>10.119999999999999</v>
      </c>
    </row>
    <row r="18" spans="1:43" hidden="1" x14ac:dyDescent="0.25">
      <c r="A18" s="1">
        <v>45689</v>
      </c>
      <c r="B18" t="s">
        <v>32</v>
      </c>
      <c r="C18" t="s">
        <v>39</v>
      </c>
      <c r="D18" t="s">
        <v>39</v>
      </c>
      <c r="E18" t="s">
        <v>32</v>
      </c>
      <c r="F18" t="s">
        <v>34</v>
      </c>
      <c r="G18">
        <v>0</v>
      </c>
      <c r="H18">
        <v>163</v>
      </c>
      <c r="I18">
        <v>99</v>
      </c>
      <c r="J18">
        <v>0</v>
      </c>
      <c r="K18">
        <v>99</v>
      </c>
      <c r="L18">
        <v>527.79999999999995</v>
      </c>
      <c r="M18">
        <v>163</v>
      </c>
      <c r="N18">
        <v>140</v>
      </c>
      <c r="O18">
        <v>0.8589</v>
      </c>
      <c r="P18">
        <v>1</v>
      </c>
      <c r="Q18">
        <v>0</v>
      </c>
      <c r="R18">
        <v>0.7</v>
      </c>
      <c r="S18">
        <v>0.21</v>
      </c>
      <c r="T18">
        <v>0.03</v>
      </c>
      <c r="U18">
        <v>668.18</v>
      </c>
      <c r="V18">
        <v>0</v>
      </c>
      <c r="W18">
        <v>0</v>
      </c>
      <c r="X18">
        <v>0</v>
      </c>
      <c r="Y18">
        <v>527.79999999999995</v>
      </c>
      <c r="Z18">
        <v>23.9</v>
      </c>
      <c r="AA18">
        <v>0</v>
      </c>
      <c r="AB18">
        <v>23.9</v>
      </c>
      <c r="AC18">
        <v>14.51</v>
      </c>
      <c r="AD18">
        <v>0</v>
      </c>
      <c r="AE18">
        <v>14.51</v>
      </c>
      <c r="AF18">
        <v>28</v>
      </c>
      <c r="AG18">
        <v>20</v>
      </c>
      <c r="AH18">
        <v>8</v>
      </c>
      <c r="AI18">
        <v>1</v>
      </c>
      <c r="AJ18">
        <v>19</v>
      </c>
      <c r="AK18">
        <v>7.5</v>
      </c>
      <c r="AL18">
        <v>0.31</v>
      </c>
      <c r="AM18">
        <v>0</v>
      </c>
      <c r="AN18">
        <v>0.31</v>
      </c>
      <c r="AO18">
        <v>0.19</v>
      </c>
      <c r="AP18">
        <v>0</v>
      </c>
      <c r="AQ18">
        <v>0.19</v>
      </c>
    </row>
    <row r="19" spans="1:43" hidden="1" x14ac:dyDescent="0.25">
      <c r="A19" s="1">
        <v>45689</v>
      </c>
      <c r="B19" t="s">
        <v>32</v>
      </c>
      <c r="C19" t="s">
        <v>40</v>
      </c>
      <c r="D19" t="s">
        <v>40</v>
      </c>
      <c r="E19" t="s">
        <v>32</v>
      </c>
      <c r="F19" t="s">
        <v>34</v>
      </c>
      <c r="G19">
        <v>0</v>
      </c>
      <c r="H19">
        <v>43</v>
      </c>
      <c r="I19">
        <v>28</v>
      </c>
      <c r="J19">
        <v>0</v>
      </c>
      <c r="K19">
        <v>28</v>
      </c>
      <c r="L19">
        <v>828.72</v>
      </c>
      <c r="M19">
        <v>43</v>
      </c>
      <c r="N19">
        <v>40</v>
      </c>
      <c r="O19">
        <v>0.93020000000000003</v>
      </c>
      <c r="P19">
        <v>0.2414</v>
      </c>
      <c r="Q19">
        <v>0.75860000000000005</v>
      </c>
      <c r="R19">
        <v>0.7</v>
      </c>
      <c r="S19">
        <v>0.21</v>
      </c>
      <c r="T19">
        <v>0.03</v>
      </c>
      <c r="U19">
        <v>833.31</v>
      </c>
      <c r="V19">
        <v>0.7</v>
      </c>
      <c r="W19">
        <v>0.21</v>
      </c>
      <c r="X19">
        <v>0.03</v>
      </c>
      <c r="Y19">
        <v>828.72</v>
      </c>
      <c r="Z19">
        <v>2.39</v>
      </c>
      <c r="AA19">
        <v>7.51</v>
      </c>
      <c r="AB19">
        <v>9.9</v>
      </c>
      <c r="AC19">
        <v>1.56</v>
      </c>
      <c r="AD19">
        <v>4.8899999999999997</v>
      </c>
      <c r="AE19">
        <v>6.45</v>
      </c>
      <c r="AF19">
        <v>28</v>
      </c>
      <c r="AG19">
        <v>20</v>
      </c>
      <c r="AH19">
        <v>8</v>
      </c>
      <c r="AI19">
        <v>1</v>
      </c>
      <c r="AJ19">
        <v>19</v>
      </c>
      <c r="AK19">
        <v>7.5</v>
      </c>
      <c r="AL19">
        <v>0.03</v>
      </c>
      <c r="AM19">
        <v>0.1</v>
      </c>
      <c r="AN19">
        <v>0.13</v>
      </c>
      <c r="AO19">
        <v>0.02</v>
      </c>
      <c r="AP19">
        <v>0.06</v>
      </c>
      <c r="AQ19">
        <v>0.08</v>
      </c>
    </row>
    <row r="20" spans="1:43" hidden="1" x14ac:dyDescent="0.25">
      <c r="A20" s="1">
        <v>45689</v>
      </c>
      <c r="B20" t="s">
        <v>32</v>
      </c>
      <c r="C20" t="s">
        <v>41</v>
      </c>
      <c r="D20" t="s">
        <v>41</v>
      </c>
      <c r="E20" t="s">
        <v>32</v>
      </c>
      <c r="F20" t="s">
        <v>34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125</v>
      </c>
      <c r="Z20">
        <v>0</v>
      </c>
      <c r="AA20" t="s">
        <v>125</v>
      </c>
      <c r="AB20" t="s">
        <v>125</v>
      </c>
      <c r="AC20">
        <v>0</v>
      </c>
      <c r="AD20" t="s">
        <v>125</v>
      </c>
      <c r="AE20" t="s">
        <v>125</v>
      </c>
      <c r="AF20">
        <v>28</v>
      </c>
      <c r="AG20">
        <v>20</v>
      </c>
      <c r="AH20">
        <v>8</v>
      </c>
      <c r="AI20">
        <v>1</v>
      </c>
      <c r="AJ20">
        <v>19</v>
      </c>
      <c r="AK20">
        <v>7.5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 hidden="1" x14ac:dyDescent="0.25">
      <c r="A21" s="1">
        <v>45689</v>
      </c>
      <c r="B21" t="s">
        <v>32</v>
      </c>
      <c r="C21" t="s">
        <v>42</v>
      </c>
      <c r="D21" t="s">
        <v>42</v>
      </c>
      <c r="E21" t="s">
        <v>32</v>
      </c>
      <c r="F21" t="s">
        <v>34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125</v>
      </c>
      <c r="Z21">
        <v>0</v>
      </c>
      <c r="AA21" t="s">
        <v>125</v>
      </c>
      <c r="AB21" t="s">
        <v>125</v>
      </c>
      <c r="AC21">
        <v>0</v>
      </c>
      <c r="AD21" t="s">
        <v>125</v>
      </c>
      <c r="AE21" t="s">
        <v>125</v>
      </c>
      <c r="AF21">
        <v>28</v>
      </c>
      <c r="AG21">
        <v>20</v>
      </c>
      <c r="AH21">
        <v>8</v>
      </c>
      <c r="AI21">
        <v>1</v>
      </c>
      <c r="AJ21">
        <v>19</v>
      </c>
      <c r="AK21">
        <v>7.5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</row>
    <row r="22" spans="1:43" hidden="1" x14ac:dyDescent="0.25">
      <c r="A22" s="1">
        <v>45689</v>
      </c>
      <c r="B22" t="s">
        <v>32</v>
      </c>
      <c r="C22" t="s">
        <v>43</v>
      </c>
      <c r="D22" t="s">
        <v>43</v>
      </c>
      <c r="E22" t="s">
        <v>32</v>
      </c>
      <c r="F22" t="s">
        <v>34</v>
      </c>
      <c r="G22">
        <v>0</v>
      </c>
      <c r="H22">
        <v>4</v>
      </c>
      <c r="I22">
        <v>1</v>
      </c>
      <c r="J22">
        <v>0</v>
      </c>
      <c r="K22">
        <v>1</v>
      </c>
      <c r="L22">
        <v>226.25</v>
      </c>
      <c r="M22">
        <v>4</v>
      </c>
      <c r="N22">
        <v>4</v>
      </c>
      <c r="O22">
        <v>1</v>
      </c>
      <c r="P22">
        <v>1</v>
      </c>
      <c r="Q22">
        <v>0</v>
      </c>
      <c r="R22">
        <v>0.7</v>
      </c>
      <c r="S22">
        <v>0.21</v>
      </c>
      <c r="T22">
        <v>0.03</v>
      </c>
      <c r="U22">
        <v>493.67</v>
      </c>
      <c r="V22">
        <v>0</v>
      </c>
      <c r="W22">
        <v>0</v>
      </c>
      <c r="X22">
        <v>0</v>
      </c>
      <c r="Y22">
        <v>226.25</v>
      </c>
      <c r="Z22">
        <v>0.25</v>
      </c>
      <c r="AA22">
        <v>0</v>
      </c>
      <c r="AB22">
        <v>0.25</v>
      </c>
      <c r="AC22">
        <v>0.06</v>
      </c>
      <c r="AD22">
        <v>0</v>
      </c>
      <c r="AE22">
        <v>0.06</v>
      </c>
      <c r="AF22">
        <v>28</v>
      </c>
      <c r="AG22">
        <v>20</v>
      </c>
      <c r="AH22">
        <v>8</v>
      </c>
      <c r="AI22">
        <v>1</v>
      </c>
      <c r="AJ22">
        <v>19</v>
      </c>
      <c r="AK22">
        <v>7.5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 hidden="1" x14ac:dyDescent="0.25">
      <c r="A23" s="1">
        <v>45689</v>
      </c>
      <c r="B23" t="s">
        <v>32</v>
      </c>
      <c r="C23" t="s">
        <v>44</v>
      </c>
      <c r="D23" t="s">
        <v>44</v>
      </c>
      <c r="E23" t="s">
        <v>32</v>
      </c>
      <c r="F23" t="s">
        <v>34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1</v>
      </c>
      <c r="Q23">
        <v>0</v>
      </c>
      <c r="R23">
        <v>0.7</v>
      </c>
      <c r="S23">
        <v>0.21</v>
      </c>
      <c r="T23">
        <v>0.03</v>
      </c>
      <c r="U23">
        <v>713.35</v>
      </c>
      <c r="V23">
        <v>0</v>
      </c>
      <c r="W23">
        <v>0</v>
      </c>
      <c r="X23">
        <v>0</v>
      </c>
      <c r="Y23" t="s">
        <v>125</v>
      </c>
      <c r="Z23">
        <v>0</v>
      </c>
      <c r="AA23" t="s">
        <v>125</v>
      </c>
      <c r="AB23" t="s">
        <v>125</v>
      </c>
      <c r="AC23">
        <v>0</v>
      </c>
      <c r="AD23" t="s">
        <v>125</v>
      </c>
      <c r="AE23" t="s">
        <v>125</v>
      </c>
      <c r="AF23">
        <v>28</v>
      </c>
      <c r="AG23">
        <v>20</v>
      </c>
      <c r="AH23">
        <v>8</v>
      </c>
      <c r="AI23">
        <v>1</v>
      </c>
      <c r="AJ23">
        <v>19</v>
      </c>
      <c r="AK23">
        <v>7.5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</row>
    <row r="24" spans="1:43" hidden="1" x14ac:dyDescent="0.25">
      <c r="A24" s="1">
        <v>45717</v>
      </c>
      <c r="B24" t="s">
        <v>32</v>
      </c>
      <c r="C24" t="s">
        <v>33</v>
      </c>
      <c r="D24" t="s">
        <v>33</v>
      </c>
      <c r="E24" t="s">
        <v>32</v>
      </c>
      <c r="F24" t="s">
        <v>34</v>
      </c>
      <c r="G24">
        <v>0</v>
      </c>
      <c r="H24">
        <v>31</v>
      </c>
      <c r="I24">
        <v>31</v>
      </c>
      <c r="J24">
        <v>0</v>
      </c>
      <c r="K24">
        <v>31</v>
      </c>
      <c r="L24">
        <v>369.37</v>
      </c>
      <c r="M24">
        <v>27</v>
      </c>
      <c r="N24">
        <v>25</v>
      </c>
      <c r="O24">
        <v>0.92589999999999995</v>
      </c>
      <c r="P24">
        <v>1</v>
      </c>
      <c r="Q24">
        <v>0</v>
      </c>
      <c r="R24">
        <v>0.7</v>
      </c>
      <c r="S24">
        <v>0.21</v>
      </c>
      <c r="T24">
        <v>0.03</v>
      </c>
      <c r="U24">
        <v>520.5</v>
      </c>
      <c r="V24">
        <v>0</v>
      </c>
      <c r="W24">
        <v>0</v>
      </c>
      <c r="X24">
        <v>0</v>
      </c>
      <c r="Y24">
        <v>369.37</v>
      </c>
      <c r="Z24">
        <v>3.18</v>
      </c>
      <c r="AA24">
        <v>0</v>
      </c>
      <c r="AB24">
        <v>3.18</v>
      </c>
      <c r="AC24">
        <v>3.18</v>
      </c>
      <c r="AD24">
        <v>0</v>
      </c>
      <c r="AE24">
        <v>3.18</v>
      </c>
      <c r="AF24">
        <v>31</v>
      </c>
      <c r="AG24">
        <v>21</v>
      </c>
      <c r="AH24">
        <v>10</v>
      </c>
      <c r="AI24">
        <v>0</v>
      </c>
      <c r="AJ24">
        <v>21</v>
      </c>
      <c r="AK24">
        <v>7.5</v>
      </c>
      <c r="AL24">
        <v>0.04</v>
      </c>
      <c r="AM24">
        <v>0</v>
      </c>
      <c r="AN24">
        <v>0.04</v>
      </c>
      <c r="AO24">
        <v>0.04</v>
      </c>
      <c r="AP24">
        <v>0</v>
      </c>
      <c r="AQ24">
        <v>0.04</v>
      </c>
    </row>
    <row r="25" spans="1:43" hidden="1" x14ac:dyDescent="0.25">
      <c r="A25" s="1">
        <v>45717</v>
      </c>
      <c r="B25" t="s">
        <v>32</v>
      </c>
      <c r="C25" t="s">
        <v>32</v>
      </c>
      <c r="D25" t="s">
        <v>32</v>
      </c>
      <c r="E25" t="s">
        <v>32</v>
      </c>
      <c r="F25" t="s">
        <v>35</v>
      </c>
      <c r="G25">
        <v>0</v>
      </c>
      <c r="H25">
        <v>386</v>
      </c>
      <c r="I25">
        <v>334</v>
      </c>
      <c r="J25">
        <v>0</v>
      </c>
      <c r="K25">
        <v>334</v>
      </c>
      <c r="L25">
        <v>825.25</v>
      </c>
      <c r="M25">
        <v>288</v>
      </c>
      <c r="N25">
        <v>206</v>
      </c>
      <c r="O25">
        <v>0.71530000000000005</v>
      </c>
      <c r="P25">
        <v>1</v>
      </c>
      <c r="Q25">
        <v>0</v>
      </c>
      <c r="R25">
        <v>0.7</v>
      </c>
      <c r="S25">
        <v>0.21</v>
      </c>
      <c r="T25">
        <v>0.03</v>
      </c>
      <c r="U25">
        <v>1245.3</v>
      </c>
      <c r="V25">
        <v>0</v>
      </c>
      <c r="W25">
        <v>0</v>
      </c>
      <c r="X25">
        <v>0</v>
      </c>
      <c r="Y25">
        <v>825.25</v>
      </c>
      <c r="Z25">
        <v>88.49</v>
      </c>
      <c r="AA25">
        <v>0</v>
      </c>
      <c r="AB25">
        <v>88.49</v>
      </c>
      <c r="AC25">
        <v>76.56</v>
      </c>
      <c r="AD25">
        <v>0</v>
      </c>
      <c r="AE25">
        <v>76.56</v>
      </c>
      <c r="AF25">
        <v>31</v>
      </c>
      <c r="AG25">
        <v>21</v>
      </c>
      <c r="AH25">
        <v>10</v>
      </c>
      <c r="AI25">
        <v>0</v>
      </c>
      <c r="AJ25">
        <v>21</v>
      </c>
      <c r="AK25">
        <v>7.5</v>
      </c>
      <c r="AL25">
        <v>1.05</v>
      </c>
      <c r="AM25">
        <v>0</v>
      </c>
      <c r="AN25">
        <v>1.05</v>
      </c>
      <c r="AO25">
        <v>0.91</v>
      </c>
      <c r="AP25">
        <v>0</v>
      </c>
      <c r="AQ25">
        <v>0.91</v>
      </c>
    </row>
    <row r="26" spans="1:43" hidden="1" x14ac:dyDescent="0.25">
      <c r="A26" s="1">
        <v>45717</v>
      </c>
      <c r="B26" t="s">
        <v>32</v>
      </c>
      <c r="C26" t="s">
        <v>36</v>
      </c>
      <c r="D26" t="s">
        <v>36</v>
      </c>
      <c r="E26" t="s">
        <v>32</v>
      </c>
      <c r="F26" t="s">
        <v>34</v>
      </c>
      <c r="G26">
        <v>0</v>
      </c>
      <c r="H26">
        <v>10</v>
      </c>
      <c r="I26">
        <v>3</v>
      </c>
      <c r="J26">
        <v>0</v>
      </c>
      <c r="K26">
        <v>3</v>
      </c>
      <c r="L26">
        <v>398.5</v>
      </c>
      <c r="M26">
        <v>8</v>
      </c>
      <c r="N26">
        <v>7</v>
      </c>
      <c r="O26">
        <v>0.875</v>
      </c>
      <c r="P26">
        <v>1</v>
      </c>
      <c r="Q26">
        <v>0</v>
      </c>
      <c r="R26">
        <v>0.7</v>
      </c>
      <c r="S26">
        <v>0.21</v>
      </c>
      <c r="T26">
        <v>0.03</v>
      </c>
      <c r="U26">
        <v>329.68</v>
      </c>
      <c r="V26">
        <v>0</v>
      </c>
      <c r="W26">
        <v>0</v>
      </c>
      <c r="X26">
        <v>0</v>
      </c>
      <c r="Y26">
        <v>398.5</v>
      </c>
      <c r="Z26">
        <v>1.1100000000000001</v>
      </c>
      <c r="AA26">
        <v>0</v>
      </c>
      <c r="AB26">
        <v>1.1100000000000001</v>
      </c>
      <c r="AC26">
        <v>0.33</v>
      </c>
      <c r="AD26">
        <v>0</v>
      </c>
      <c r="AE26">
        <v>0.33</v>
      </c>
      <c r="AF26">
        <v>31</v>
      </c>
      <c r="AG26">
        <v>21</v>
      </c>
      <c r="AH26">
        <v>10</v>
      </c>
      <c r="AI26">
        <v>0</v>
      </c>
      <c r="AJ26">
        <v>21</v>
      </c>
      <c r="AK26">
        <v>7.5</v>
      </c>
      <c r="AL26">
        <v>0.01</v>
      </c>
      <c r="AM26">
        <v>0</v>
      </c>
      <c r="AN26">
        <v>0.01</v>
      </c>
      <c r="AO26">
        <v>0</v>
      </c>
      <c r="AP26">
        <v>0</v>
      </c>
      <c r="AQ26">
        <v>0</v>
      </c>
    </row>
    <row r="27" spans="1:43" hidden="1" x14ac:dyDescent="0.25">
      <c r="A27" s="1">
        <v>45717</v>
      </c>
      <c r="B27" t="s">
        <v>32</v>
      </c>
      <c r="C27" t="s">
        <v>37</v>
      </c>
      <c r="D27" t="s">
        <v>37</v>
      </c>
      <c r="E27" t="s">
        <v>32</v>
      </c>
      <c r="F27" t="s">
        <v>34</v>
      </c>
      <c r="G27">
        <v>0</v>
      </c>
      <c r="H27">
        <v>3</v>
      </c>
      <c r="I27">
        <v>1</v>
      </c>
      <c r="J27">
        <v>0</v>
      </c>
      <c r="K27">
        <v>1</v>
      </c>
      <c r="L27">
        <v>347.67</v>
      </c>
      <c r="M27">
        <v>3</v>
      </c>
      <c r="N27">
        <v>1</v>
      </c>
      <c r="O27">
        <v>0.33329999999999999</v>
      </c>
      <c r="P27">
        <v>1</v>
      </c>
      <c r="Q27">
        <v>0</v>
      </c>
      <c r="R27">
        <v>0.7</v>
      </c>
      <c r="S27">
        <v>0.21</v>
      </c>
      <c r="T27">
        <v>0.03</v>
      </c>
      <c r="U27">
        <v>842.5</v>
      </c>
      <c r="V27">
        <v>0</v>
      </c>
      <c r="W27">
        <v>0</v>
      </c>
      <c r="X27">
        <v>0</v>
      </c>
      <c r="Y27">
        <v>347.67</v>
      </c>
      <c r="Z27">
        <v>0.28999999999999998</v>
      </c>
      <c r="AA27">
        <v>0</v>
      </c>
      <c r="AB27">
        <v>0.28999999999999998</v>
      </c>
      <c r="AC27">
        <v>0.1</v>
      </c>
      <c r="AD27">
        <v>0</v>
      </c>
      <c r="AE27">
        <v>0.1</v>
      </c>
      <c r="AF27">
        <v>31</v>
      </c>
      <c r="AG27">
        <v>21</v>
      </c>
      <c r="AH27">
        <v>10</v>
      </c>
      <c r="AI27">
        <v>0</v>
      </c>
      <c r="AJ27">
        <v>21</v>
      </c>
      <c r="AK27">
        <v>7.5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</row>
    <row r="28" spans="1:43" hidden="1" x14ac:dyDescent="0.25">
      <c r="A28" s="1">
        <v>45717</v>
      </c>
      <c r="B28" t="s">
        <v>32</v>
      </c>
      <c r="C28" t="s">
        <v>38</v>
      </c>
      <c r="D28" t="s">
        <v>38</v>
      </c>
      <c r="E28" t="s">
        <v>32</v>
      </c>
      <c r="F28" t="s">
        <v>34</v>
      </c>
      <c r="G28">
        <v>0</v>
      </c>
      <c r="H28">
        <v>5700</v>
      </c>
      <c r="I28">
        <v>5253</v>
      </c>
      <c r="J28">
        <v>0</v>
      </c>
      <c r="K28">
        <v>5253</v>
      </c>
      <c r="L28">
        <v>601.92999999999995</v>
      </c>
      <c r="M28">
        <v>5564</v>
      </c>
      <c r="N28">
        <v>5011</v>
      </c>
      <c r="O28">
        <v>0.90059999999999996</v>
      </c>
      <c r="P28">
        <v>0.47170000000000001</v>
      </c>
      <c r="Q28">
        <v>0.52829999999999999</v>
      </c>
      <c r="R28">
        <v>0.7</v>
      </c>
      <c r="S28">
        <v>0.21</v>
      </c>
      <c r="T28">
        <v>0.03</v>
      </c>
      <c r="U28">
        <v>633.24</v>
      </c>
      <c r="V28">
        <v>0.7</v>
      </c>
      <c r="W28">
        <v>0.21</v>
      </c>
      <c r="X28">
        <v>0.03</v>
      </c>
      <c r="Y28">
        <v>601.92999999999995</v>
      </c>
      <c r="Z28">
        <v>449.56</v>
      </c>
      <c r="AA28">
        <v>503.5</v>
      </c>
      <c r="AB28">
        <v>953.06</v>
      </c>
      <c r="AC28">
        <v>414.3</v>
      </c>
      <c r="AD28">
        <v>464.01</v>
      </c>
      <c r="AE28">
        <v>878.32</v>
      </c>
      <c r="AF28">
        <v>31</v>
      </c>
      <c r="AG28">
        <v>21</v>
      </c>
      <c r="AH28">
        <v>10</v>
      </c>
      <c r="AI28">
        <v>0</v>
      </c>
      <c r="AJ28">
        <v>21</v>
      </c>
      <c r="AK28">
        <v>7.5</v>
      </c>
      <c r="AL28">
        <v>5.32</v>
      </c>
      <c r="AM28">
        <v>5.95</v>
      </c>
      <c r="AN28">
        <v>11.27</v>
      </c>
      <c r="AO28">
        <v>4.9000000000000004</v>
      </c>
      <c r="AP28">
        <v>5.49</v>
      </c>
      <c r="AQ28">
        <v>10.39</v>
      </c>
    </row>
    <row r="29" spans="1:43" hidden="1" x14ac:dyDescent="0.25">
      <c r="A29" s="1">
        <v>45717</v>
      </c>
      <c r="B29" t="s">
        <v>32</v>
      </c>
      <c r="C29" t="s">
        <v>39</v>
      </c>
      <c r="D29" t="s">
        <v>39</v>
      </c>
      <c r="E29" t="s">
        <v>32</v>
      </c>
      <c r="F29" t="s">
        <v>34</v>
      </c>
      <c r="G29">
        <v>0</v>
      </c>
      <c r="H29">
        <v>195</v>
      </c>
      <c r="I29">
        <v>123</v>
      </c>
      <c r="J29">
        <v>0</v>
      </c>
      <c r="K29">
        <v>123</v>
      </c>
      <c r="L29">
        <v>577.83000000000004</v>
      </c>
      <c r="M29">
        <v>195</v>
      </c>
      <c r="N29">
        <v>157</v>
      </c>
      <c r="O29">
        <v>0.80510000000000004</v>
      </c>
      <c r="P29">
        <v>1</v>
      </c>
      <c r="Q29">
        <v>0</v>
      </c>
      <c r="R29">
        <v>0.7</v>
      </c>
      <c r="S29">
        <v>0.21</v>
      </c>
      <c r="T29">
        <v>0.03</v>
      </c>
      <c r="U29">
        <v>611.30999999999995</v>
      </c>
      <c r="V29">
        <v>0</v>
      </c>
      <c r="W29">
        <v>0</v>
      </c>
      <c r="X29">
        <v>0</v>
      </c>
      <c r="Y29">
        <v>577.83000000000004</v>
      </c>
      <c r="Z29">
        <v>31.3</v>
      </c>
      <c r="AA29">
        <v>0</v>
      </c>
      <c r="AB29">
        <v>31.3</v>
      </c>
      <c r="AC29">
        <v>19.739999999999998</v>
      </c>
      <c r="AD29">
        <v>0</v>
      </c>
      <c r="AE29">
        <v>19.739999999999998</v>
      </c>
      <c r="AF29">
        <v>31</v>
      </c>
      <c r="AG29">
        <v>21</v>
      </c>
      <c r="AH29">
        <v>10</v>
      </c>
      <c r="AI29">
        <v>0</v>
      </c>
      <c r="AJ29">
        <v>21</v>
      </c>
      <c r="AK29">
        <v>7.5</v>
      </c>
      <c r="AL29">
        <v>0.37</v>
      </c>
      <c r="AM29">
        <v>0</v>
      </c>
      <c r="AN29">
        <v>0.37</v>
      </c>
      <c r="AO29">
        <v>0.23</v>
      </c>
      <c r="AP29">
        <v>0</v>
      </c>
      <c r="AQ29">
        <v>0.23</v>
      </c>
    </row>
    <row r="30" spans="1:43" hidden="1" x14ac:dyDescent="0.25">
      <c r="A30" s="1">
        <v>45717</v>
      </c>
      <c r="B30" t="s">
        <v>32</v>
      </c>
      <c r="C30" t="s">
        <v>40</v>
      </c>
      <c r="D30" t="s">
        <v>40</v>
      </c>
      <c r="E30" t="s">
        <v>32</v>
      </c>
      <c r="F30" t="s">
        <v>34</v>
      </c>
      <c r="G30">
        <v>0</v>
      </c>
      <c r="H30">
        <v>55</v>
      </c>
      <c r="I30">
        <v>36</v>
      </c>
      <c r="J30">
        <v>0</v>
      </c>
      <c r="K30">
        <v>36</v>
      </c>
      <c r="L30">
        <v>740.93</v>
      </c>
      <c r="M30">
        <v>55</v>
      </c>
      <c r="N30">
        <v>52</v>
      </c>
      <c r="O30">
        <v>0.94550000000000001</v>
      </c>
      <c r="P30">
        <v>0.1731</v>
      </c>
      <c r="Q30">
        <v>0.82689999999999997</v>
      </c>
      <c r="R30">
        <v>0.7</v>
      </c>
      <c r="S30">
        <v>0.21</v>
      </c>
      <c r="T30">
        <v>0.03</v>
      </c>
      <c r="U30">
        <v>801.94</v>
      </c>
      <c r="V30">
        <v>0.7</v>
      </c>
      <c r="W30">
        <v>0.21</v>
      </c>
      <c r="X30">
        <v>0.03</v>
      </c>
      <c r="Y30">
        <v>740.93</v>
      </c>
      <c r="Z30">
        <v>1.96</v>
      </c>
      <c r="AA30">
        <v>9.36</v>
      </c>
      <c r="AB30">
        <v>11.32</v>
      </c>
      <c r="AC30">
        <v>1.28</v>
      </c>
      <c r="AD30">
        <v>6.13</v>
      </c>
      <c r="AE30">
        <v>7.41</v>
      </c>
      <c r="AF30">
        <v>31</v>
      </c>
      <c r="AG30">
        <v>21</v>
      </c>
      <c r="AH30">
        <v>10</v>
      </c>
      <c r="AI30">
        <v>0</v>
      </c>
      <c r="AJ30">
        <v>21</v>
      </c>
      <c r="AK30">
        <v>7.5</v>
      </c>
      <c r="AL30">
        <v>0.02</v>
      </c>
      <c r="AM30">
        <v>0.11</v>
      </c>
      <c r="AN30">
        <v>0.13</v>
      </c>
      <c r="AO30">
        <v>0.02</v>
      </c>
      <c r="AP30">
        <v>7.0000000000000007E-2</v>
      </c>
      <c r="AQ30">
        <v>0.09</v>
      </c>
    </row>
    <row r="31" spans="1:43" hidden="1" x14ac:dyDescent="0.25">
      <c r="A31" s="1">
        <v>45717</v>
      </c>
      <c r="B31" t="s">
        <v>32</v>
      </c>
      <c r="C31" t="s">
        <v>41</v>
      </c>
      <c r="D31" t="s">
        <v>41</v>
      </c>
      <c r="E31" t="s">
        <v>32</v>
      </c>
      <c r="F31" t="s">
        <v>34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125</v>
      </c>
      <c r="Z31">
        <v>0</v>
      </c>
      <c r="AA31" t="s">
        <v>125</v>
      </c>
      <c r="AB31" t="s">
        <v>125</v>
      </c>
      <c r="AC31">
        <v>0</v>
      </c>
      <c r="AD31" t="s">
        <v>125</v>
      </c>
      <c r="AE31" t="s">
        <v>125</v>
      </c>
      <c r="AF31">
        <v>31</v>
      </c>
      <c r="AG31">
        <v>21</v>
      </c>
      <c r="AH31">
        <v>10</v>
      </c>
      <c r="AI31">
        <v>0</v>
      </c>
      <c r="AJ31">
        <v>21</v>
      </c>
      <c r="AK31">
        <v>7.5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</row>
    <row r="32" spans="1:43" hidden="1" x14ac:dyDescent="0.25">
      <c r="A32" s="1">
        <v>45717</v>
      </c>
      <c r="B32" t="s">
        <v>32</v>
      </c>
      <c r="C32" t="s">
        <v>42</v>
      </c>
      <c r="D32" t="s">
        <v>42</v>
      </c>
      <c r="E32" t="s">
        <v>32</v>
      </c>
      <c r="F32" t="s">
        <v>34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t="s">
        <v>125</v>
      </c>
      <c r="Z32">
        <v>0</v>
      </c>
      <c r="AA32" t="s">
        <v>125</v>
      </c>
      <c r="AB32" t="s">
        <v>125</v>
      </c>
      <c r="AC32">
        <v>0</v>
      </c>
      <c r="AD32" t="s">
        <v>125</v>
      </c>
      <c r="AE32" t="s">
        <v>125</v>
      </c>
      <c r="AF32">
        <v>31</v>
      </c>
      <c r="AG32">
        <v>21</v>
      </c>
      <c r="AH32">
        <v>10</v>
      </c>
      <c r="AI32">
        <v>0</v>
      </c>
      <c r="AJ32">
        <v>21</v>
      </c>
      <c r="AK32">
        <v>7.5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</row>
    <row r="33" spans="1:43" hidden="1" x14ac:dyDescent="0.25">
      <c r="A33" s="1">
        <v>45717</v>
      </c>
      <c r="B33" t="s">
        <v>32</v>
      </c>
      <c r="C33" t="s">
        <v>43</v>
      </c>
      <c r="D33" t="s">
        <v>43</v>
      </c>
      <c r="E33" t="s">
        <v>32</v>
      </c>
      <c r="F33" t="s">
        <v>34</v>
      </c>
      <c r="G33">
        <v>0</v>
      </c>
      <c r="H33">
        <v>3</v>
      </c>
      <c r="I33">
        <v>1</v>
      </c>
      <c r="J33">
        <v>0</v>
      </c>
      <c r="K33">
        <v>1</v>
      </c>
      <c r="L33">
        <v>759</v>
      </c>
      <c r="M33">
        <v>3</v>
      </c>
      <c r="N33">
        <v>2</v>
      </c>
      <c r="O33">
        <v>0.66669999999999996</v>
      </c>
      <c r="P33">
        <v>1</v>
      </c>
      <c r="Q33">
        <v>0</v>
      </c>
      <c r="R33">
        <v>0.7</v>
      </c>
      <c r="S33">
        <v>0.21</v>
      </c>
      <c r="T33">
        <v>0.03</v>
      </c>
      <c r="U33">
        <v>432.29</v>
      </c>
      <c r="V33">
        <v>0</v>
      </c>
      <c r="W33">
        <v>0</v>
      </c>
      <c r="X33">
        <v>0</v>
      </c>
      <c r="Y33">
        <v>759</v>
      </c>
      <c r="Z33">
        <v>0.63</v>
      </c>
      <c r="AA33">
        <v>0</v>
      </c>
      <c r="AB33">
        <v>0.63</v>
      </c>
      <c r="AC33">
        <v>0.21</v>
      </c>
      <c r="AD33">
        <v>0</v>
      </c>
      <c r="AE33">
        <v>0.21</v>
      </c>
      <c r="AF33">
        <v>31</v>
      </c>
      <c r="AG33">
        <v>21</v>
      </c>
      <c r="AH33">
        <v>10</v>
      </c>
      <c r="AI33">
        <v>0</v>
      </c>
      <c r="AJ33">
        <v>21</v>
      </c>
      <c r="AK33">
        <v>7.5</v>
      </c>
      <c r="AL33">
        <v>0.01</v>
      </c>
      <c r="AM33">
        <v>0</v>
      </c>
      <c r="AN33">
        <v>0.01</v>
      </c>
      <c r="AO33">
        <v>0</v>
      </c>
      <c r="AP33">
        <v>0</v>
      </c>
      <c r="AQ33">
        <v>0</v>
      </c>
    </row>
    <row r="34" spans="1:43" hidden="1" x14ac:dyDescent="0.25">
      <c r="A34" s="1">
        <v>45717</v>
      </c>
      <c r="B34" t="s">
        <v>32</v>
      </c>
      <c r="C34" t="s">
        <v>44</v>
      </c>
      <c r="D34" t="s">
        <v>44</v>
      </c>
      <c r="E34" t="s">
        <v>32</v>
      </c>
      <c r="F34" t="s">
        <v>34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1</v>
      </c>
      <c r="Q34">
        <v>0</v>
      </c>
      <c r="R34">
        <v>0.7</v>
      </c>
      <c r="S34">
        <v>0.21</v>
      </c>
      <c r="T34">
        <v>0.03</v>
      </c>
      <c r="U34">
        <v>0</v>
      </c>
      <c r="V34">
        <v>0</v>
      </c>
      <c r="W34">
        <v>0</v>
      </c>
      <c r="X34">
        <v>0</v>
      </c>
      <c r="Y34" t="s">
        <v>125</v>
      </c>
      <c r="Z34">
        <v>0</v>
      </c>
      <c r="AA34" t="s">
        <v>125</v>
      </c>
      <c r="AB34" t="s">
        <v>125</v>
      </c>
      <c r="AC34">
        <v>0</v>
      </c>
      <c r="AD34" t="s">
        <v>125</v>
      </c>
      <c r="AE34" t="s">
        <v>125</v>
      </c>
      <c r="AF34">
        <v>31</v>
      </c>
      <c r="AG34">
        <v>21</v>
      </c>
      <c r="AH34">
        <v>10</v>
      </c>
      <c r="AI34">
        <v>0</v>
      </c>
      <c r="AJ34">
        <v>21</v>
      </c>
      <c r="AK34">
        <v>7.5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</row>
    <row r="35" spans="1:43" hidden="1" x14ac:dyDescent="0.25">
      <c r="A35" s="1">
        <v>45748</v>
      </c>
      <c r="B35" t="s">
        <v>32</v>
      </c>
      <c r="C35" t="s">
        <v>33</v>
      </c>
      <c r="D35" t="s">
        <v>33</v>
      </c>
      <c r="E35" t="s">
        <v>32</v>
      </c>
      <c r="F35" t="s">
        <v>34</v>
      </c>
      <c r="G35">
        <v>0</v>
      </c>
      <c r="H35">
        <v>35</v>
      </c>
      <c r="I35">
        <v>34</v>
      </c>
      <c r="J35">
        <v>0</v>
      </c>
      <c r="K35">
        <v>34</v>
      </c>
      <c r="L35">
        <v>625.20000000000005</v>
      </c>
      <c r="M35">
        <v>35</v>
      </c>
      <c r="N35">
        <v>34</v>
      </c>
      <c r="O35">
        <v>0.97140000000000004</v>
      </c>
      <c r="P35">
        <v>1</v>
      </c>
      <c r="Q35">
        <v>0</v>
      </c>
      <c r="R35">
        <v>0.7</v>
      </c>
      <c r="S35">
        <v>0.21</v>
      </c>
      <c r="T35">
        <v>0.03</v>
      </c>
      <c r="U35">
        <v>448.55</v>
      </c>
      <c r="V35">
        <v>0</v>
      </c>
      <c r="W35">
        <v>0</v>
      </c>
      <c r="X35">
        <v>0</v>
      </c>
      <c r="Y35">
        <v>625.20000000000005</v>
      </c>
      <c r="Z35">
        <v>6.08</v>
      </c>
      <c r="AA35">
        <v>0</v>
      </c>
      <c r="AB35">
        <v>6.08</v>
      </c>
      <c r="AC35">
        <v>5.9</v>
      </c>
      <c r="AD35">
        <v>0</v>
      </c>
      <c r="AE35">
        <v>5.9</v>
      </c>
      <c r="AF35">
        <v>30</v>
      </c>
      <c r="AG35">
        <v>22</v>
      </c>
      <c r="AH35">
        <v>8</v>
      </c>
      <c r="AI35">
        <v>0</v>
      </c>
      <c r="AJ35">
        <v>22</v>
      </c>
      <c r="AK35">
        <v>7.5</v>
      </c>
      <c r="AL35">
        <v>7.0000000000000007E-2</v>
      </c>
      <c r="AM35">
        <v>0</v>
      </c>
      <c r="AN35">
        <v>7.0000000000000007E-2</v>
      </c>
      <c r="AO35">
        <v>7.0000000000000007E-2</v>
      </c>
      <c r="AP35">
        <v>0</v>
      </c>
      <c r="AQ35">
        <v>7.0000000000000007E-2</v>
      </c>
    </row>
    <row r="36" spans="1:43" hidden="1" x14ac:dyDescent="0.25">
      <c r="A36" s="1">
        <v>45748</v>
      </c>
      <c r="B36" t="s">
        <v>32</v>
      </c>
      <c r="C36" t="s">
        <v>32</v>
      </c>
      <c r="D36" t="s">
        <v>32</v>
      </c>
      <c r="E36" t="s">
        <v>32</v>
      </c>
      <c r="F36" t="s">
        <v>35</v>
      </c>
      <c r="G36">
        <v>0</v>
      </c>
      <c r="H36">
        <v>372</v>
      </c>
      <c r="I36">
        <v>350</v>
      </c>
      <c r="J36">
        <v>0</v>
      </c>
      <c r="K36">
        <v>350</v>
      </c>
      <c r="L36">
        <v>869.91</v>
      </c>
      <c r="M36">
        <v>325</v>
      </c>
      <c r="N36">
        <v>239</v>
      </c>
      <c r="O36">
        <v>0.73540000000000005</v>
      </c>
      <c r="P36">
        <v>1</v>
      </c>
      <c r="Q36">
        <v>0</v>
      </c>
      <c r="R36">
        <v>0.7</v>
      </c>
      <c r="S36">
        <v>0.21</v>
      </c>
      <c r="T36">
        <v>0.03</v>
      </c>
      <c r="U36">
        <v>1097.29</v>
      </c>
      <c r="V36">
        <v>0</v>
      </c>
      <c r="W36">
        <v>0</v>
      </c>
      <c r="X36">
        <v>0</v>
      </c>
      <c r="Y36">
        <v>869.91</v>
      </c>
      <c r="Z36">
        <v>89.89</v>
      </c>
      <c r="AA36">
        <v>0</v>
      </c>
      <c r="AB36">
        <v>89.89</v>
      </c>
      <c r="AC36">
        <v>84.57</v>
      </c>
      <c r="AD36">
        <v>0</v>
      </c>
      <c r="AE36">
        <v>84.57</v>
      </c>
      <c r="AF36">
        <v>30</v>
      </c>
      <c r="AG36">
        <v>22</v>
      </c>
      <c r="AH36">
        <v>8</v>
      </c>
      <c r="AI36">
        <v>0</v>
      </c>
      <c r="AJ36">
        <v>22</v>
      </c>
      <c r="AK36">
        <v>7.5</v>
      </c>
      <c r="AL36">
        <v>1.01</v>
      </c>
      <c r="AM36">
        <v>0</v>
      </c>
      <c r="AN36">
        <v>1.01</v>
      </c>
      <c r="AO36">
        <v>0.95</v>
      </c>
      <c r="AP36">
        <v>0</v>
      </c>
      <c r="AQ36">
        <v>0.95</v>
      </c>
    </row>
    <row r="37" spans="1:43" hidden="1" x14ac:dyDescent="0.25">
      <c r="A37" s="1">
        <v>45748</v>
      </c>
      <c r="B37" t="s">
        <v>32</v>
      </c>
      <c r="C37" t="s">
        <v>36</v>
      </c>
      <c r="D37" t="s">
        <v>36</v>
      </c>
      <c r="E37" t="s">
        <v>32</v>
      </c>
      <c r="F37" t="s">
        <v>34</v>
      </c>
      <c r="G37">
        <v>0</v>
      </c>
      <c r="H37">
        <v>2</v>
      </c>
      <c r="I37">
        <v>5</v>
      </c>
      <c r="J37">
        <v>0</v>
      </c>
      <c r="K37">
        <v>5</v>
      </c>
      <c r="L37">
        <v>874</v>
      </c>
      <c r="M37">
        <v>2</v>
      </c>
      <c r="N37">
        <v>2</v>
      </c>
      <c r="O37">
        <v>1</v>
      </c>
      <c r="P37">
        <v>1</v>
      </c>
      <c r="Q37">
        <v>0</v>
      </c>
      <c r="R37">
        <v>0.7</v>
      </c>
      <c r="S37">
        <v>0.21</v>
      </c>
      <c r="T37">
        <v>0.03</v>
      </c>
      <c r="U37">
        <v>394.18</v>
      </c>
      <c r="V37">
        <v>0</v>
      </c>
      <c r="W37">
        <v>0</v>
      </c>
      <c r="X37">
        <v>0</v>
      </c>
      <c r="Y37">
        <v>874</v>
      </c>
      <c r="Z37">
        <v>0.49</v>
      </c>
      <c r="AA37">
        <v>0</v>
      </c>
      <c r="AB37">
        <v>0.49</v>
      </c>
      <c r="AC37">
        <v>1.21</v>
      </c>
      <c r="AD37">
        <v>0</v>
      </c>
      <c r="AE37">
        <v>1.21</v>
      </c>
      <c r="AF37">
        <v>30</v>
      </c>
      <c r="AG37">
        <v>22</v>
      </c>
      <c r="AH37">
        <v>8</v>
      </c>
      <c r="AI37">
        <v>0</v>
      </c>
      <c r="AJ37">
        <v>22</v>
      </c>
      <c r="AK37">
        <v>7.5</v>
      </c>
      <c r="AL37">
        <v>0.01</v>
      </c>
      <c r="AM37">
        <v>0</v>
      </c>
      <c r="AN37">
        <v>0.01</v>
      </c>
      <c r="AO37">
        <v>0.01</v>
      </c>
      <c r="AP37">
        <v>0</v>
      </c>
      <c r="AQ37">
        <v>0.01</v>
      </c>
    </row>
    <row r="38" spans="1:43" hidden="1" x14ac:dyDescent="0.25">
      <c r="A38" s="1">
        <v>45748</v>
      </c>
      <c r="B38" t="s">
        <v>32</v>
      </c>
      <c r="C38" t="s">
        <v>37</v>
      </c>
      <c r="D38" t="s">
        <v>37</v>
      </c>
      <c r="E38" t="s">
        <v>32</v>
      </c>
      <c r="F38" t="s">
        <v>34</v>
      </c>
      <c r="G38">
        <v>0</v>
      </c>
      <c r="H38">
        <v>3</v>
      </c>
      <c r="I38">
        <v>1</v>
      </c>
      <c r="J38">
        <v>0</v>
      </c>
      <c r="K38">
        <v>1</v>
      </c>
      <c r="L38">
        <v>766.67</v>
      </c>
      <c r="M38">
        <v>3</v>
      </c>
      <c r="N38">
        <v>3</v>
      </c>
      <c r="O38">
        <v>1</v>
      </c>
      <c r="P38">
        <v>1</v>
      </c>
      <c r="Q38">
        <v>0</v>
      </c>
      <c r="R38">
        <v>0.7</v>
      </c>
      <c r="S38">
        <v>0.21</v>
      </c>
      <c r="T38">
        <v>0.03</v>
      </c>
      <c r="U38">
        <v>677.56</v>
      </c>
      <c r="V38">
        <v>0</v>
      </c>
      <c r="W38">
        <v>0</v>
      </c>
      <c r="X38">
        <v>0</v>
      </c>
      <c r="Y38">
        <v>766.67</v>
      </c>
      <c r="Z38">
        <v>0.64</v>
      </c>
      <c r="AA38">
        <v>0</v>
      </c>
      <c r="AB38">
        <v>0.64</v>
      </c>
      <c r="AC38">
        <v>0.21</v>
      </c>
      <c r="AD38">
        <v>0</v>
      </c>
      <c r="AE38">
        <v>0.21</v>
      </c>
      <c r="AF38">
        <v>30</v>
      </c>
      <c r="AG38">
        <v>22</v>
      </c>
      <c r="AH38">
        <v>8</v>
      </c>
      <c r="AI38">
        <v>0</v>
      </c>
      <c r="AJ38">
        <v>22</v>
      </c>
      <c r="AK38">
        <v>7.5</v>
      </c>
      <c r="AL38">
        <v>0.01</v>
      </c>
      <c r="AM38">
        <v>0</v>
      </c>
      <c r="AN38">
        <v>0.01</v>
      </c>
      <c r="AO38">
        <v>0</v>
      </c>
      <c r="AP38">
        <v>0</v>
      </c>
      <c r="AQ38">
        <v>0</v>
      </c>
    </row>
    <row r="39" spans="1:43" hidden="1" x14ac:dyDescent="0.25">
      <c r="A39" s="1">
        <v>45748</v>
      </c>
      <c r="B39" t="s">
        <v>32</v>
      </c>
      <c r="C39" t="s">
        <v>38</v>
      </c>
      <c r="D39" t="s">
        <v>38</v>
      </c>
      <c r="E39" t="s">
        <v>32</v>
      </c>
      <c r="F39" t="s">
        <v>34</v>
      </c>
      <c r="G39">
        <v>0</v>
      </c>
      <c r="H39">
        <v>5321</v>
      </c>
      <c r="I39">
        <v>5477</v>
      </c>
      <c r="J39">
        <v>0</v>
      </c>
      <c r="K39">
        <v>5477</v>
      </c>
      <c r="L39">
        <v>549.96</v>
      </c>
      <c r="M39">
        <v>5254</v>
      </c>
      <c r="N39">
        <v>4931</v>
      </c>
      <c r="O39">
        <v>0.9385</v>
      </c>
      <c r="P39">
        <v>0.51419999999999999</v>
      </c>
      <c r="Q39">
        <v>0.48580000000000001</v>
      </c>
      <c r="R39">
        <v>0.7</v>
      </c>
      <c r="S39">
        <v>0.21</v>
      </c>
      <c r="T39">
        <v>0.03</v>
      </c>
      <c r="U39">
        <v>596.33000000000004</v>
      </c>
      <c r="V39">
        <v>0.7</v>
      </c>
      <c r="W39">
        <v>0.21</v>
      </c>
      <c r="X39">
        <v>0.03</v>
      </c>
      <c r="Y39">
        <v>549.96</v>
      </c>
      <c r="Z39">
        <v>417.98</v>
      </c>
      <c r="AA39">
        <v>394.89</v>
      </c>
      <c r="AB39">
        <v>812.87</v>
      </c>
      <c r="AC39">
        <v>430.23</v>
      </c>
      <c r="AD39">
        <v>406.47</v>
      </c>
      <c r="AE39">
        <v>836.7</v>
      </c>
      <c r="AF39">
        <v>30</v>
      </c>
      <c r="AG39">
        <v>22</v>
      </c>
      <c r="AH39">
        <v>8</v>
      </c>
      <c r="AI39">
        <v>0</v>
      </c>
      <c r="AJ39">
        <v>22</v>
      </c>
      <c r="AK39">
        <v>7.5</v>
      </c>
      <c r="AL39">
        <v>4.72</v>
      </c>
      <c r="AM39">
        <v>4.46</v>
      </c>
      <c r="AN39">
        <v>9.18</v>
      </c>
      <c r="AO39">
        <v>4.8600000000000003</v>
      </c>
      <c r="AP39">
        <v>4.59</v>
      </c>
      <c r="AQ39">
        <v>9.4499999999999993</v>
      </c>
    </row>
    <row r="40" spans="1:43" hidden="1" x14ac:dyDescent="0.25">
      <c r="A40" s="1">
        <v>45748</v>
      </c>
      <c r="B40" t="s">
        <v>32</v>
      </c>
      <c r="C40" t="s">
        <v>39</v>
      </c>
      <c r="D40" t="s">
        <v>39</v>
      </c>
      <c r="E40" t="s">
        <v>32</v>
      </c>
      <c r="F40" t="s">
        <v>34</v>
      </c>
      <c r="G40">
        <v>0</v>
      </c>
      <c r="H40">
        <v>79</v>
      </c>
      <c r="I40">
        <v>126</v>
      </c>
      <c r="J40">
        <v>0</v>
      </c>
      <c r="K40">
        <v>126</v>
      </c>
      <c r="L40">
        <v>522.84</v>
      </c>
      <c r="M40">
        <v>79</v>
      </c>
      <c r="N40">
        <v>68</v>
      </c>
      <c r="O40">
        <v>0.86080000000000001</v>
      </c>
      <c r="P40">
        <v>1</v>
      </c>
      <c r="Q40">
        <v>0</v>
      </c>
      <c r="R40">
        <v>0.7</v>
      </c>
      <c r="S40">
        <v>0.21</v>
      </c>
      <c r="T40">
        <v>0.03</v>
      </c>
      <c r="U40">
        <v>568.48</v>
      </c>
      <c r="V40">
        <v>0</v>
      </c>
      <c r="W40">
        <v>0</v>
      </c>
      <c r="X40">
        <v>0</v>
      </c>
      <c r="Y40">
        <v>522.84</v>
      </c>
      <c r="Z40">
        <v>11.47</v>
      </c>
      <c r="AA40">
        <v>0</v>
      </c>
      <c r="AB40">
        <v>11.47</v>
      </c>
      <c r="AC40">
        <v>18.3</v>
      </c>
      <c r="AD40">
        <v>0</v>
      </c>
      <c r="AE40">
        <v>18.3</v>
      </c>
      <c r="AF40">
        <v>30</v>
      </c>
      <c r="AG40">
        <v>22</v>
      </c>
      <c r="AH40">
        <v>8</v>
      </c>
      <c r="AI40">
        <v>0</v>
      </c>
      <c r="AJ40">
        <v>22</v>
      </c>
      <c r="AK40">
        <v>7.5</v>
      </c>
      <c r="AL40">
        <v>0.13</v>
      </c>
      <c r="AM40">
        <v>0</v>
      </c>
      <c r="AN40">
        <v>0.13</v>
      </c>
      <c r="AO40">
        <v>0.21</v>
      </c>
      <c r="AP40">
        <v>0</v>
      </c>
      <c r="AQ40">
        <v>0.21</v>
      </c>
    </row>
    <row r="41" spans="1:43" hidden="1" x14ac:dyDescent="0.25">
      <c r="A41" s="1">
        <v>45748</v>
      </c>
      <c r="B41" t="s">
        <v>32</v>
      </c>
      <c r="C41" t="s">
        <v>40</v>
      </c>
      <c r="D41" t="s">
        <v>40</v>
      </c>
      <c r="E41" t="s">
        <v>32</v>
      </c>
      <c r="F41" t="s">
        <v>34</v>
      </c>
      <c r="G41">
        <v>0</v>
      </c>
      <c r="H41">
        <v>58</v>
      </c>
      <c r="I41">
        <v>37</v>
      </c>
      <c r="J41">
        <v>0</v>
      </c>
      <c r="K41">
        <v>37</v>
      </c>
      <c r="L41">
        <v>578.71</v>
      </c>
      <c r="M41">
        <v>58</v>
      </c>
      <c r="N41">
        <v>53</v>
      </c>
      <c r="O41">
        <v>0.91379999999999995</v>
      </c>
      <c r="P41">
        <v>3.6400000000000002E-2</v>
      </c>
      <c r="Q41">
        <v>0.96360000000000001</v>
      </c>
      <c r="R41">
        <v>0.7</v>
      </c>
      <c r="S41">
        <v>0.21</v>
      </c>
      <c r="T41">
        <v>0.03</v>
      </c>
      <c r="U41">
        <v>769.1</v>
      </c>
      <c r="V41">
        <v>0.7</v>
      </c>
      <c r="W41">
        <v>0.21</v>
      </c>
      <c r="X41">
        <v>0.03</v>
      </c>
      <c r="Y41">
        <v>578.71</v>
      </c>
      <c r="Z41">
        <v>0.34</v>
      </c>
      <c r="AA41">
        <v>8.98</v>
      </c>
      <c r="AB41">
        <v>9.32</v>
      </c>
      <c r="AC41">
        <v>0.22</v>
      </c>
      <c r="AD41">
        <v>5.73</v>
      </c>
      <c r="AE41">
        <v>5.95</v>
      </c>
      <c r="AF41">
        <v>30</v>
      </c>
      <c r="AG41">
        <v>22</v>
      </c>
      <c r="AH41">
        <v>8</v>
      </c>
      <c r="AI41">
        <v>0</v>
      </c>
      <c r="AJ41">
        <v>22</v>
      </c>
      <c r="AK41">
        <v>7.5</v>
      </c>
      <c r="AL41">
        <v>0</v>
      </c>
      <c r="AM41">
        <v>0.1</v>
      </c>
      <c r="AN41">
        <v>0.1</v>
      </c>
      <c r="AO41">
        <v>0</v>
      </c>
      <c r="AP41">
        <v>0.06</v>
      </c>
      <c r="AQ41">
        <v>0.06</v>
      </c>
    </row>
    <row r="42" spans="1:43" hidden="1" x14ac:dyDescent="0.25">
      <c r="A42" s="1">
        <v>45748</v>
      </c>
      <c r="B42" t="s">
        <v>32</v>
      </c>
      <c r="C42" t="s">
        <v>41</v>
      </c>
      <c r="D42" t="s">
        <v>41</v>
      </c>
      <c r="E42" t="s">
        <v>32</v>
      </c>
      <c r="F42" t="s">
        <v>34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125</v>
      </c>
      <c r="Z42">
        <v>0</v>
      </c>
      <c r="AA42" t="s">
        <v>125</v>
      </c>
      <c r="AB42" t="s">
        <v>125</v>
      </c>
      <c r="AC42">
        <v>0</v>
      </c>
      <c r="AD42" t="s">
        <v>125</v>
      </c>
      <c r="AE42" t="s">
        <v>125</v>
      </c>
      <c r="AF42">
        <v>30</v>
      </c>
      <c r="AG42">
        <v>22</v>
      </c>
      <c r="AH42">
        <v>8</v>
      </c>
      <c r="AI42">
        <v>0</v>
      </c>
      <c r="AJ42">
        <v>22</v>
      </c>
      <c r="AK42">
        <v>7.5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</row>
    <row r="43" spans="1:43" hidden="1" x14ac:dyDescent="0.25">
      <c r="A43" s="1">
        <v>45748</v>
      </c>
      <c r="B43" t="s">
        <v>32</v>
      </c>
      <c r="C43" t="s">
        <v>42</v>
      </c>
      <c r="D43" t="s">
        <v>42</v>
      </c>
      <c r="E43" t="s">
        <v>32</v>
      </c>
      <c r="F43" t="s">
        <v>34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125</v>
      </c>
      <c r="Z43">
        <v>0</v>
      </c>
      <c r="AA43" t="s">
        <v>125</v>
      </c>
      <c r="AB43" t="s">
        <v>125</v>
      </c>
      <c r="AC43">
        <v>0</v>
      </c>
      <c r="AD43" t="s">
        <v>125</v>
      </c>
      <c r="AE43" t="s">
        <v>125</v>
      </c>
      <c r="AF43">
        <v>30</v>
      </c>
      <c r="AG43">
        <v>22</v>
      </c>
      <c r="AH43">
        <v>8</v>
      </c>
      <c r="AI43">
        <v>0</v>
      </c>
      <c r="AJ43">
        <v>22</v>
      </c>
      <c r="AK43">
        <v>7.5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</row>
    <row r="44" spans="1:43" hidden="1" x14ac:dyDescent="0.25">
      <c r="A44" s="1">
        <v>45748</v>
      </c>
      <c r="B44" t="s">
        <v>32</v>
      </c>
      <c r="C44" t="s">
        <v>43</v>
      </c>
      <c r="D44" t="s">
        <v>43</v>
      </c>
      <c r="E44" t="s">
        <v>32</v>
      </c>
      <c r="F44" t="s">
        <v>34</v>
      </c>
      <c r="G44">
        <v>0</v>
      </c>
      <c r="H44">
        <v>8</v>
      </c>
      <c r="I44">
        <v>2</v>
      </c>
      <c r="J44">
        <v>0</v>
      </c>
      <c r="K44">
        <v>2</v>
      </c>
      <c r="L44">
        <v>729.29</v>
      </c>
      <c r="M44">
        <v>7</v>
      </c>
      <c r="N44">
        <v>5</v>
      </c>
      <c r="O44">
        <v>0.71430000000000005</v>
      </c>
      <c r="P44">
        <v>1</v>
      </c>
      <c r="Q44">
        <v>0</v>
      </c>
      <c r="R44">
        <v>0.7</v>
      </c>
      <c r="S44">
        <v>0.21</v>
      </c>
      <c r="T44">
        <v>0.03</v>
      </c>
      <c r="U44">
        <v>541.19000000000005</v>
      </c>
      <c r="V44">
        <v>0</v>
      </c>
      <c r="W44">
        <v>0</v>
      </c>
      <c r="X44">
        <v>0</v>
      </c>
      <c r="Y44">
        <v>729.29</v>
      </c>
      <c r="Z44">
        <v>1.62</v>
      </c>
      <c r="AA44">
        <v>0</v>
      </c>
      <c r="AB44">
        <v>1.62</v>
      </c>
      <c r="AC44">
        <v>0.41</v>
      </c>
      <c r="AD44">
        <v>0</v>
      </c>
      <c r="AE44">
        <v>0.41</v>
      </c>
      <c r="AF44">
        <v>30</v>
      </c>
      <c r="AG44">
        <v>22</v>
      </c>
      <c r="AH44">
        <v>8</v>
      </c>
      <c r="AI44">
        <v>0</v>
      </c>
      <c r="AJ44">
        <v>22</v>
      </c>
      <c r="AK44">
        <v>7.5</v>
      </c>
      <c r="AL44">
        <v>0.02</v>
      </c>
      <c r="AM44">
        <v>0</v>
      </c>
      <c r="AN44">
        <v>0.02</v>
      </c>
      <c r="AO44">
        <v>0</v>
      </c>
      <c r="AP44">
        <v>0</v>
      </c>
      <c r="AQ44">
        <v>0</v>
      </c>
    </row>
    <row r="45" spans="1:43" hidden="1" x14ac:dyDescent="0.25">
      <c r="A45" s="1">
        <v>45748</v>
      </c>
      <c r="B45" t="s">
        <v>32</v>
      </c>
      <c r="C45" t="s">
        <v>44</v>
      </c>
      <c r="D45" t="s">
        <v>44</v>
      </c>
      <c r="E45" t="s">
        <v>32</v>
      </c>
      <c r="F45" t="s">
        <v>34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0.7</v>
      </c>
      <c r="S45">
        <v>0.21</v>
      </c>
      <c r="T45">
        <v>0.03</v>
      </c>
      <c r="U45">
        <v>0</v>
      </c>
      <c r="V45">
        <v>0</v>
      </c>
      <c r="W45">
        <v>0</v>
      </c>
      <c r="X45">
        <v>0</v>
      </c>
      <c r="Y45" t="s">
        <v>125</v>
      </c>
      <c r="Z45">
        <v>0</v>
      </c>
      <c r="AA45" t="s">
        <v>125</v>
      </c>
      <c r="AB45" t="s">
        <v>125</v>
      </c>
      <c r="AC45">
        <v>0</v>
      </c>
      <c r="AD45" t="s">
        <v>125</v>
      </c>
      <c r="AE45" t="s">
        <v>125</v>
      </c>
      <c r="AF45">
        <v>30</v>
      </c>
      <c r="AG45">
        <v>22</v>
      </c>
      <c r="AH45">
        <v>8</v>
      </c>
      <c r="AI45">
        <v>0</v>
      </c>
      <c r="AJ45">
        <v>22</v>
      </c>
      <c r="AK45">
        <v>7.5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</row>
    <row r="46" spans="1:43" hidden="1" x14ac:dyDescent="0.25">
      <c r="A46" s="1">
        <v>45778</v>
      </c>
      <c r="B46" t="s">
        <v>32</v>
      </c>
      <c r="C46" t="s">
        <v>33</v>
      </c>
      <c r="D46" t="s">
        <v>33</v>
      </c>
      <c r="E46" t="s">
        <v>32</v>
      </c>
      <c r="F46" t="s">
        <v>34</v>
      </c>
      <c r="G46">
        <v>0</v>
      </c>
      <c r="H46">
        <v>23</v>
      </c>
      <c r="I46">
        <v>28</v>
      </c>
      <c r="J46">
        <v>0</v>
      </c>
      <c r="K46">
        <v>28</v>
      </c>
      <c r="L46">
        <v>327.76</v>
      </c>
      <c r="M46">
        <v>21</v>
      </c>
      <c r="N46">
        <v>19</v>
      </c>
      <c r="O46">
        <v>0.90480000000000005</v>
      </c>
      <c r="P46">
        <v>1</v>
      </c>
      <c r="Q46">
        <v>0</v>
      </c>
      <c r="R46">
        <v>0.7</v>
      </c>
      <c r="S46">
        <v>0.21</v>
      </c>
      <c r="T46">
        <v>0.03</v>
      </c>
      <c r="U46">
        <v>468.49</v>
      </c>
      <c r="V46">
        <v>0</v>
      </c>
      <c r="W46">
        <v>0</v>
      </c>
      <c r="X46">
        <v>0</v>
      </c>
      <c r="Y46">
        <v>327.76</v>
      </c>
      <c r="Z46">
        <v>2.09</v>
      </c>
      <c r="AA46">
        <v>0</v>
      </c>
      <c r="AB46">
        <v>2.09</v>
      </c>
      <c r="AC46">
        <v>2.5499999999999998</v>
      </c>
      <c r="AD46">
        <v>0</v>
      </c>
      <c r="AE46">
        <v>2.5499999999999998</v>
      </c>
      <c r="AF46">
        <v>31</v>
      </c>
      <c r="AG46">
        <v>22</v>
      </c>
      <c r="AH46">
        <v>9</v>
      </c>
      <c r="AI46">
        <v>1</v>
      </c>
      <c r="AJ46">
        <v>21</v>
      </c>
      <c r="AK46">
        <v>7.5</v>
      </c>
      <c r="AL46">
        <v>0.02</v>
      </c>
      <c r="AM46">
        <v>0</v>
      </c>
      <c r="AN46">
        <v>0.02</v>
      </c>
      <c r="AO46">
        <v>0.03</v>
      </c>
      <c r="AP46">
        <v>0</v>
      </c>
      <c r="AQ46">
        <v>0.03</v>
      </c>
    </row>
    <row r="47" spans="1:43" hidden="1" x14ac:dyDescent="0.25">
      <c r="A47" s="1">
        <v>45778</v>
      </c>
      <c r="B47" t="s">
        <v>32</v>
      </c>
      <c r="C47" t="s">
        <v>32</v>
      </c>
      <c r="D47" t="s">
        <v>32</v>
      </c>
      <c r="E47" t="s">
        <v>32</v>
      </c>
      <c r="F47" t="s">
        <v>35</v>
      </c>
      <c r="G47">
        <v>0</v>
      </c>
      <c r="H47">
        <v>392</v>
      </c>
      <c r="I47">
        <v>335</v>
      </c>
      <c r="J47">
        <v>0</v>
      </c>
      <c r="K47">
        <v>335</v>
      </c>
      <c r="L47">
        <v>1253.51</v>
      </c>
      <c r="M47">
        <v>286</v>
      </c>
      <c r="N47">
        <v>163</v>
      </c>
      <c r="O47">
        <v>0.56989999999999996</v>
      </c>
      <c r="P47">
        <v>1</v>
      </c>
      <c r="Q47">
        <v>0</v>
      </c>
      <c r="R47">
        <v>0.7</v>
      </c>
      <c r="S47">
        <v>0.21</v>
      </c>
      <c r="T47">
        <v>0.03</v>
      </c>
      <c r="U47">
        <v>975.99</v>
      </c>
      <c r="V47">
        <v>0</v>
      </c>
      <c r="W47">
        <v>0</v>
      </c>
      <c r="X47">
        <v>0</v>
      </c>
      <c r="Y47">
        <v>1253.51</v>
      </c>
      <c r="Z47">
        <v>136.49</v>
      </c>
      <c r="AA47">
        <v>0</v>
      </c>
      <c r="AB47">
        <v>136.49</v>
      </c>
      <c r="AC47">
        <v>116.65</v>
      </c>
      <c r="AD47">
        <v>0</v>
      </c>
      <c r="AE47">
        <v>116.65</v>
      </c>
      <c r="AF47">
        <v>31</v>
      </c>
      <c r="AG47">
        <v>22</v>
      </c>
      <c r="AH47">
        <v>9</v>
      </c>
      <c r="AI47">
        <v>1</v>
      </c>
      <c r="AJ47">
        <v>21</v>
      </c>
      <c r="AK47">
        <v>7.5</v>
      </c>
      <c r="AL47">
        <v>1.61</v>
      </c>
      <c r="AM47">
        <v>0</v>
      </c>
      <c r="AN47">
        <v>1.61</v>
      </c>
      <c r="AO47">
        <v>1.38</v>
      </c>
      <c r="AP47">
        <v>0</v>
      </c>
      <c r="AQ47">
        <v>1.38</v>
      </c>
    </row>
    <row r="48" spans="1:43" hidden="1" x14ac:dyDescent="0.25">
      <c r="A48" s="1">
        <v>45778</v>
      </c>
      <c r="B48" t="s">
        <v>32</v>
      </c>
      <c r="C48" t="s">
        <v>36</v>
      </c>
      <c r="D48" t="s">
        <v>36</v>
      </c>
      <c r="E48" t="s">
        <v>32</v>
      </c>
      <c r="F48" t="s">
        <v>34</v>
      </c>
      <c r="G48">
        <v>0</v>
      </c>
      <c r="H48">
        <v>2</v>
      </c>
      <c r="I48">
        <v>4</v>
      </c>
      <c r="J48">
        <v>0</v>
      </c>
      <c r="K48">
        <v>4</v>
      </c>
      <c r="L48">
        <v>643</v>
      </c>
      <c r="M48">
        <v>2</v>
      </c>
      <c r="N48">
        <v>2</v>
      </c>
      <c r="O48">
        <v>1</v>
      </c>
      <c r="P48">
        <v>1</v>
      </c>
      <c r="Q48">
        <v>0</v>
      </c>
      <c r="R48">
        <v>0.7</v>
      </c>
      <c r="S48">
        <v>0.21</v>
      </c>
      <c r="T48">
        <v>0.03</v>
      </c>
      <c r="U48">
        <v>591.07000000000005</v>
      </c>
      <c r="V48">
        <v>0</v>
      </c>
      <c r="W48">
        <v>0</v>
      </c>
      <c r="X48">
        <v>0</v>
      </c>
      <c r="Y48">
        <v>643</v>
      </c>
      <c r="Z48">
        <v>0.36</v>
      </c>
      <c r="AA48">
        <v>0</v>
      </c>
      <c r="AB48">
        <v>0.36</v>
      </c>
      <c r="AC48">
        <v>0.71</v>
      </c>
      <c r="AD48">
        <v>0</v>
      </c>
      <c r="AE48">
        <v>0.71</v>
      </c>
      <c r="AF48">
        <v>31</v>
      </c>
      <c r="AG48">
        <v>22</v>
      </c>
      <c r="AH48">
        <v>9</v>
      </c>
      <c r="AI48">
        <v>1</v>
      </c>
      <c r="AJ48">
        <v>21</v>
      </c>
      <c r="AK48">
        <v>7.5</v>
      </c>
      <c r="AL48">
        <v>0</v>
      </c>
      <c r="AM48">
        <v>0</v>
      </c>
      <c r="AN48">
        <v>0</v>
      </c>
      <c r="AO48">
        <v>0.01</v>
      </c>
      <c r="AP48">
        <v>0</v>
      </c>
      <c r="AQ48">
        <v>0.01</v>
      </c>
    </row>
    <row r="49" spans="1:43" hidden="1" x14ac:dyDescent="0.25">
      <c r="A49" s="1">
        <v>45778</v>
      </c>
      <c r="B49" t="s">
        <v>32</v>
      </c>
      <c r="C49" t="s">
        <v>37</v>
      </c>
      <c r="D49" t="s">
        <v>37</v>
      </c>
      <c r="E49" t="s">
        <v>32</v>
      </c>
      <c r="F49" t="s">
        <v>34</v>
      </c>
      <c r="G49">
        <v>0</v>
      </c>
      <c r="H49">
        <v>5</v>
      </c>
      <c r="I49">
        <v>1</v>
      </c>
      <c r="J49">
        <v>0</v>
      </c>
      <c r="K49">
        <v>1</v>
      </c>
      <c r="L49">
        <v>373.8</v>
      </c>
      <c r="M49">
        <v>5</v>
      </c>
      <c r="N49">
        <v>5</v>
      </c>
      <c r="O49">
        <v>1</v>
      </c>
      <c r="P49">
        <v>1</v>
      </c>
      <c r="Q49">
        <v>0</v>
      </c>
      <c r="R49">
        <v>0.7</v>
      </c>
      <c r="S49">
        <v>0.21</v>
      </c>
      <c r="T49">
        <v>0.03</v>
      </c>
      <c r="U49">
        <v>615.78</v>
      </c>
      <c r="V49">
        <v>0</v>
      </c>
      <c r="W49">
        <v>0</v>
      </c>
      <c r="X49">
        <v>0</v>
      </c>
      <c r="Y49">
        <v>373.8</v>
      </c>
      <c r="Z49">
        <v>0.52</v>
      </c>
      <c r="AA49">
        <v>0</v>
      </c>
      <c r="AB49">
        <v>0.52</v>
      </c>
      <c r="AC49">
        <v>0.1</v>
      </c>
      <c r="AD49">
        <v>0</v>
      </c>
      <c r="AE49">
        <v>0.1</v>
      </c>
      <c r="AF49">
        <v>31</v>
      </c>
      <c r="AG49">
        <v>22</v>
      </c>
      <c r="AH49">
        <v>9</v>
      </c>
      <c r="AI49">
        <v>1</v>
      </c>
      <c r="AJ49">
        <v>21</v>
      </c>
      <c r="AK49">
        <v>7.5</v>
      </c>
      <c r="AL49">
        <v>0.01</v>
      </c>
      <c r="AM49">
        <v>0</v>
      </c>
      <c r="AN49">
        <v>0.01</v>
      </c>
      <c r="AO49">
        <v>0</v>
      </c>
      <c r="AP49">
        <v>0</v>
      </c>
      <c r="AQ49">
        <v>0</v>
      </c>
    </row>
    <row r="50" spans="1:43" hidden="1" x14ac:dyDescent="0.25">
      <c r="A50" s="1">
        <v>45778</v>
      </c>
      <c r="B50" t="s">
        <v>32</v>
      </c>
      <c r="C50" t="s">
        <v>38</v>
      </c>
      <c r="D50" t="s">
        <v>38</v>
      </c>
      <c r="E50" t="s">
        <v>32</v>
      </c>
      <c r="F50" t="s">
        <v>34</v>
      </c>
      <c r="G50">
        <v>0</v>
      </c>
      <c r="H50">
        <v>5561</v>
      </c>
      <c r="I50">
        <v>5238</v>
      </c>
      <c r="J50">
        <v>0</v>
      </c>
      <c r="K50">
        <v>5238</v>
      </c>
      <c r="L50">
        <v>569.95000000000005</v>
      </c>
      <c r="M50">
        <v>5374</v>
      </c>
      <c r="N50">
        <v>4655</v>
      </c>
      <c r="O50">
        <v>0.86619999999999997</v>
      </c>
      <c r="P50">
        <v>0.4834</v>
      </c>
      <c r="Q50">
        <v>0.51659999999999995</v>
      </c>
      <c r="R50">
        <v>0.7</v>
      </c>
      <c r="S50">
        <v>0.21</v>
      </c>
      <c r="T50">
        <v>0.03</v>
      </c>
      <c r="U50">
        <v>581.91</v>
      </c>
      <c r="V50">
        <v>0.7</v>
      </c>
      <c r="W50">
        <v>0.21</v>
      </c>
      <c r="X50">
        <v>0.03</v>
      </c>
      <c r="Y50">
        <v>569.95000000000005</v>
      </c>
      <c r="Z50">
        <v>425.59</v>
      </c>
      <c r="AA50">
        <v>454.82</v>
      </c>
      <c r="AB50">
        <v>880.41</v>
      </c>
      <c r="AC50">
        <v>400.87</v>
      </c>
      <c r="AD50">
        <v>428.4</v>
      </c>
      <c r="AE50">
        <v>829.28</v>
      </c>
      <c r="AF50">
        <v>31</v>
      </c>
      <c r="AG50">
        <v>22</v>
      </c>
      <c r="AH50">
        <v>9</v>
      </c>
      <c r="AI50">
        <v>1</v>
      </c>
      <c r="AJ50">
        <v>21</v>
      </c>
      <c r="AK50">
        <v>7.5</v>
      </c>
      <c r="AL50">
        <v>5.03</v>
      </c>
      <c r="AM50">
        <v>5.38</v>
      </c>
      <c r="AN50">
        <v>10.41</v>
      </c>
      <c r="AO50">
        <v>4.74</v>
      </c>
      <c r="AP50">
        <v>5.07</v>
      </c>
      <c r="AQ50">
        <v>9.81</v>
      </c>
    </row>
    <row r="51" spans="1:43" hidden="1" x14ac:dyDescent="0.25">
      <c r="A51" s="1">
        <v>45778</v>
      </c>
      <c r="B51" t="s">
        <v>32</v>
      </c>
      <c r="C51" t="s">
        <v>39</v>
      </c>
      <c r="D51" t="s">
        <v>39</v>
      </c>
      <c r="E51" t="s">
        <v>32</v>
      </c>
      <c r="F51" t="s">
        <v>34</v>
      </c>
      <c r="G51">
        <v>0</v>
      </c>
      <c r="H51">
        <v>368</v>
      </c>
      <c r="I51">
        <v>117</v>
      </c>
      <c r="J51">
        <v>0</v>
      </c>
      <c r="K51">
        <v>117</v>
      </c>
      <c r="L51">
        <v>575.08000000000004</v>
      </c>
      <c r="M51">
        <v>368</v>
      </c>
      <c r="N51">
        <v>272</v>
      </c>
      <c r="O51">
        <v>0.73909999999999998</v>
      </c>
      <c r="P51">
        <v>1</v>
      </c>
      <c r="Q51">
        <v>0</v>
      </c>
      <c r="R51">
        <v>0.7</v>
      </c>
      <c r="S51">
        <v>0.21</v>
      </c>
      <c r="T51">
        <v>0.03</v>
      </c>
      <c r="U51">
        <v>542.82000000000005</v>
      </c>
      <c r="V51">
        <v>0</v>
      </c>
      <c r="W51">
        <v>0</v>
      </c>
      <c r="X51">
        <v>0</v>
      </c>
      <c r="Y51">
        <v>575.08000000000004</v>
      </c>
      <c r="Z51">
        <v>58.79</v>
      </c>
      <c r="AA51">
        <v>0</v>
      </c>
      <c r="AB51">
        <v>58.79</v>
      </c>
      <c r="AC51">
        <v>18.690000000000001</v>
      </c>
      <c r="AD51">
        <v>0</v>
      </c>
      <c r="AE51">
        <v>18.690000000000001</v>
      </c>
      <c r="AF51">
        <v>31</v>
      </c>
      <c r="AG51">
        <v>22</v>
      </c>
      <c r="AH51">
        <v>9</v>
      </c>
      <c r="AI51">
        <v>1</v>
      </c>
      <c r="AJ51">
        <v>21</v>
      </c>
      <c r="AK51">
        <v>7.5</v>
      </c>
      <c r="AL51">
        <v>0.7</v>
      </c>
      <c r="AM51">
        <v>0</v>
      </c>
      <c r="AN51">
        <v>0.7</v>
      </c>
      <c r="AO51">
        <v>0.22</v>
      </c>
      <c r="AP51">
        <v>0</v>
      </c>
      <c r="AQ51">
        <v>0.22</v>
      </c>
    </row>
    <row r="52" spans="1:43" hidden="1" x14ac:dyDescent="0.25">
      <c r="A52" s="1">
        <v>45778</v>
      </c>
      <c r="B52" t="s">
        <v>32</v>
      </c>
      <c r="C52" t="s">
        <v>40</v>
      </c>
      <c r="D52" t="s">
        <v>40</v>
      </c>
      <c r="E52" t="s">
        <v>32</v>
      </c>
      <c r="F52" t="s">
        <v>34</v>
      </c>
      <c r="G52">
        <v>0</v>
      </c>
      <c r="H52">
        <v>54</v>
      </c>
      <c r="I52">
        <v>34</v>
      </c>
      <c r="J52">
        <v>0</v>
      </c>
      <c r="K52">
        <v>34</v>
      </c>
      <c r="L52">
        <v>685</v>
      </c>
      <c r="M52">
        <v>53</v>
      </c>
      <c r="N52">
        <v>49</v>
      </c>
      <c r="O52">
        <v>0.92449999999999999</v>
      </c>
      <c r="P52">
        <v>0.12</v>
      </c>
      <c r="Q52">
        <v>0.88</v>
      </c>
      <c r="R52">
        <v>0.7</v>
      </c>
      <c r="S52">
        <v>0.21</v>
      </c>
      <c r="T52">
        <v>0.03</v>
      </c>
      <c r="U52">
        <v>716.12</v>
      </c>
      <c r="V52">
        <v>0.7</v>
      </c>
      <c r="W52">
        <v>0.21</v>
      </c>
      <c r="X52">
        <v>0.03</v>
      </c>
      <c r="Y52">
        <v>685</v>
      </c>
      <c r="Z52">
        <v>1.23</v>
      </c>
      <c r="AA52">
        <v>9.0399999999999991</v>
      </c>
      <c r="AB52">
        <v>10.28</v>
      </c>
      <c r="AC52">
        <v>0.78</v>
      </c>
      <c r="AD52">
        <v>5.69</v>
      </c>
      <c r="AE52">
        <v>6.47</v>
      </c>
      <c r="AF52">
        <v>31</v>
      </c>
      <c r="AG52">
        <v>22</v>
      </c>
      <c r="AH52">
        <v>9</v>
      </c>
      <c r="AI52">
        <v>1</v>
      </c>
      <c r="AJ52">
        <v>21</v>
      </c>
      <c r="AK52">
        <v>7.5</v>
      </c>
      <c r="AL52">
        <v>0.01</v>
      </c>
      <c r="AM52">
        <v>0.11</v>
      </c>
      <c r="AN52">
        <v>0.12</v>
      </c>
      <c r="AO52">
        <v>0.01</v>
      </c>
      <c r="AP52">
        <v>7.0000000000000007E-2</v>
      </c>
      <c r="AQ52">
        <v>0.08</v>
      </c>
    </row>
    <row r="53" spans="1:43" hidden="1" x14ac:dyDescent="0.25">
      <c r="A53" s="1">
        <v>45778</v>
      </c>
      <c r="B53" t="s">
        <v>32</v>
      </c>
      <c r="C53" t="s">
        <v>41</v>
      </c>
      <c r="D53" t="s">
        <v>41</v>
      </c>
      <c r="E53" t="s">
        <v>32</v>
      </c>
      <c r="F53" t="s">
        <v>34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125</v>
      </c>
      <c r="Z53">
        <v>0</v>
      </c>
      <c r="AA53" t="s">
        <v>125</v>
      </c>
      <c r="AB53" t="s">
        <v>125</v>
      </c>
      <c r="AC53">
        <v>0</v>
      </c>
      <c r="AD53" t="s">
        <v>125</v>
      </c>
      <c r="AE53" t="s">
        <v>125</v>
      </c>
      <c r="AF53">
        <v>31</v>
      </c>
      <c r="AG53">
        <v>22</v>
      </c>
      <c r="AH53">
        <v>9</v>
      </c>
      <c r="AI53">
        <v>1</v>
      </c>
      <c r="AJ53">
        <v>21</v>
      </c>
      <c r="AK53">
        <v>7.5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</row>
    <row r="54" spans="1:43" hidden="1" x14ac:dyDescent="0.25">
      <c r="A54" s="1">
        <v>45778</v>
      </c>
      <c r="B54" t="s">
        <v>32</v>
      </c>
      <c r="C54" t="s">
        <v>42</v>
      </c>
      <c r="D54" t="s">
        <v>42</v>
      </c>
      <c r="E54" t="s">
        <v>32</v>
      </c>
      <c r="F54" t="s">
        <v>34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125</v>
      </c>
      <c r="Z54">
        <v>0</v>
      </c>
      <c r="AA54" t="s">
        <v>125</v>
      </c>
      <c r="AB54" t="s">
        <v>125</v>
      </c>
      <c r="AC54">
        <v>0</v>
      </c>
      <c r="AD54" t="s">
        <v>125</v>
      </c>
      <c r="AE54" t="s">
        <v>125</v>
      </c>
      <c r="AF54">
        <v>31</v>
      </c>
      <c r="AG54">
        <v>22</v>
      </c>
      <c r="AH54">
        <v>9</v>
      </c>
      <c r="AI54">
        <v>1</v>
      </c>
      <c r="AJ54">
        <v>21</v>
      </c>
      <c r="AK54">
        <v>7.5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</row>
    <row r="55" spans="1:43" hidden="1" x14ac:dyDescent="0.25">
      <c r="A55" s="1">
        <v>45778</v>
      </c>
      <c r="B55" t="s">
        <v>32</v>
      </c>
      <c r="C55" t="s">
        <v>43</v>
      </c>
      <c r="D55" t="s">
        <v>43</v>
      </c>
      <c r="E55" t="s">
        <v>32</v>
      </c>
      <c r="F55" t="s">
        <v>34</v>
      </c>
      <c r="G55">
        <v>0</v>
      </c>
      <c r="H55">
        <v>0</v>
      </c>
      <c r="I55">
        <v>1</v>
      </c>
      <c r="J55">
        <v>0</v>
      </c>
      <c r="K55">
        <v>1</v>
      </c>
      <c r="L55">
        <v>0</v>
      </c>
      <c r="M55">
        <v>0</v>
      </c>
      <c r="N55">
        <v>0</v>
      </c>
      <c r="O55">
        <v>0</v>
      </c>
      <c r="P55">
        <v>1</v>
      </c>
      <c r="Q55">
        <v>0</v>
      </c>
      <c r="R55">
        <v>0.7</v>
      </c>
      <c r="S55">
        <v>0.21</v>
      </c>
      <c r="T55">
        <v>0.03</v>
      </c>
      <c r="U55">
        <v>571.51</v>
      </c>
      <c r="V55">
        <v>0</v>
      </c>
      <c r="W55">
        <v>0</v>
      </c>
      <c r="X55">
        <v>0</v>
      </c>
      <c r="Y55" t="s">
        <v>125</v>
      </c>
      <c r="Z55">
        <v>0</v>
      </c>
      <c r="AA55" t="s">
        <v>125</v>
      </c>
      <c r="AB55" t="s">
        <v>125</v>
      </c>
      <c r="AC55">
        <v>0</v>
      </c>
      <c r="AD55" t="s">
        <v>125</v>
      </c>
      <c r="AE55" t="s">
        <v>125</v>
      </c>
      <c r="AF55">
        <v>31</v>
      </c>
      <c r="AG55">
        <v>22</v>
      </c>
      <c r="AH55">
        <v>9</v>
      </c>
      <c r="AI55">
        <v>1</v>
      </c>
      <c r="AJ55">
        <v>21</v>
      </c>
      <c r="AK55">
        <v>7.5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</row>
    <row r="56" spans="1:43" hidden="1" x14ac:dyDescent="0.25">
      <c r="A56" s="1">
        <v>45778</v>
      </c>
      <c r="B56" t="s">
        <v>32</v>
      </c>
      <c r="C56" t="s">
        <v>44</v>
      </c>
      <c r="D56" t="s">
        <v>44</v>
      </c>
      <c r="E56" t="s">
        <v>32</v>
      </c>
      <c r="F56" t="s">
        <v>34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1</v>
      </c>
      <c r="Q56">
        <v>0</v>
      </c>
      <c r="R56">
        <v>0.7</v>
      </c>
      <c r="S56">
        <v>0.21</v>
      </c>
      <c r="T56">
        <v>0.03</v>
      </c>
      <c r="U56">
        <v>0</v>
      </c>
      <c r="V56">
        <v>0</v>
      </c>
      <c r="W56">
        <v>0</v>
      </c>
      <c r="X56">
        <v>0</v>
      </c>
      <c r="Y56" t="s">
        <v>125</v>
      </c>
      <c r="Z56">
        <v>0</v>
      </c>
      <c r="AA56" t="s">
        <v>125</v>
      </c>
      <c r="AB56" t="s">
        <v>125</v>
      </c>
      <c r="AC56">
        <v>0</v>
      </c>
      <c r="AD56" t="s">
        <v>125</v>
      </c>
      <c r="AE56" t="s">
        <v>125</v>
      </c>
      <c r="AF56">
        <v>31</v>
      </c>
      <c r="AG56">
        <v>22</v>
      </c>
      <c r="AH56">
        <v>9</v>
      </c>
      <c r="AI56">
        <v>1</v>
      </c>
      <c r="AJ56">
        <v>21</v>
      </c>
      <c r="AK56">
        <v>7.5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</row>
    <row r="57" spans="1:43" hidden="1" x14ac:dyDescent="0.25">
      <c r="A57" s="1">
        <v>45809</v>
      </c>
      <c r="B57" t="s">
        <v>32</v>
      </c>
      <c r="C57" t="s">
        <v>33</v>
      </c>
      <c r="D57" t="s">
        <v>33</v>
      </c>
      <c r="E57" t="s">
        <v>32</v>
      </c>
      <c r="F57" t="s">
        <v>34</v>
      </c>
      <c r="G57">
        <v>0</v>
      </c>
      <c r="H57">
        <v>32</v>
      </c>
      <c r="I57">
        <v>29</v>
      </c>
      <c r="J57">
        <v>0</v>
      </c>
      <c r="K57">
        <v>29</v>
      </c>
      <c r="L57">
        <v>370.56</v>
      </c>
      <c r="M57">
        <v>27</v>
      </c>
      <c r="N57">
        <v>21</v>
      </c>
      <c r="O57">
        <v>0.77780000000000005</v>
      </c>
      <c r="P57">
        <v>1</v>
      </c>
      <c r="Q57">
        <v>0</v>
      </c>
      <c r="R57">
        <v>0.7</v>
      </c>
      <c r="S57">
        <v>0.21</v>
      </c>
      <c r="T57">
        <v>0.03</v>
      </c>
      <c r="U57">
        <v>440.78</v>
      </c>
      <c r="V57">
        <v>0</v>
      </c>
      <c r="W57">
        <v>0</v>
      </c>
      <c r="X57">
        <v>0</v>
      </c>
      <c r="Y57">
        <v>370.56</v>
      </c>
      <c r="Z57">
        <v>3.29</v>
      </c>
      <c r="AA57">
        <v>0</v>
      </c>
      <c r="AB57">
        <v>3.29</v>
      </c>
      <c r="AC57">
        <v>2.99</v>
      </c>
      <c r="AD57">
        <v>0</v>
      </c>
      <c r="AE57">
        <v>2.99</v>
      </c>
      <c r="AF57">
        <v>30</v>
      </c>
      <c r="AG57">
        <v>21</v>
      </c>
      <c r="AH57">
        <v>9</v>
      </c>
      <c r="AI57">
        <v>1</v>
      </c>
      <c r="AJ57">
        <v>20</v>
      </c>
      <c r="AK57">
        <v>7.5</v>
      </c>
      <c r="AL57">
        <v>0.04</v>
      </c>
      <c r="AM57">
        <v>0</v>
      </c>
      <c r="AN57">
        <v>0.04</v>
      </c>
      <c r="AO57">
        <v>0.04</v>
      </c>
      <c r="AP57">
        <v>0</v>
      </c>
      <c r="AQ57">
        <v>0.04</v>
      </c>
    </row>
    <row r="58" spans="1:43" hidden="1" x14ac:dyDescent="0.25">
      <c r="A58" s="1">
        <v>45809</v>
      </c>
      <c r="B58" t="s">
        <v>32</v>
      </c>
      <c r="C58" t="s">
        <v>32</v>
      </c>
      <c r="D58" t="s">
        <v>32</v>
      </c>
      <c r="E58" t="s">
        <v>32</v>
      </c>
      <c r="F58" t="s">
        <v>35</v>
      </c>
      <c r="G58">
        <v>0</v>
      </c>
      <c r="H58">
        <v>407</v>
      </c>
      <c r="I58">
        <v>319</v>
      </c>
      <c r="J58">
        <v>0</v>
      </c>
      <c r="K58">
        <v>319</v>
      </c>
      <c r="L58">
        <v>1200.56</v>
      </c>
      <c r="M58">
        <v>287</v>
      </c>
      <c r="N58">
        <v>185</v>
      </c>
      <c r="O58">
        <v>0.64459999999999995</v>
      </c>
      <c r="P58">
        <v>1</v>
      </c>
      <c r="Q58">
        <v>0</v>
      </c>
      <c r="R58">
        <v>0.7</v>
      </c>
      <c r="S58">
        <v>0.21</v>
      </c>
      <c r="T58">
        <v>0.03</v>
      </c>
      <c r="U58">
        <v>982.89</v>
      </c>
      <c r="V58">
        <v>0</v>
      </c>
      <c r="W58">
        <v>0</v>
      </c>
      <c r="X58">
        <v>0</v>
      </c>
      <c r="Y58">
        <v>1200.56</v>
      </c>
      <c r="Z58">
        <v>135.72999999999999</v>
      </c>
      <c r="AA58">
        <v>0</v>
      </c>
      <c r="AB58">
        <v>135.72999999999999</v>
      </c>
      <c r="AC58">
        <v>106.38</v>
      </c>
      <c r="AD58">
        <v>0</v>
      </c>
      <c r="AE58">
        <v>106.38</v>
      </c>
      <c r="AF58">
        <v>30</v>
      </c>
      <c r="AG58">
        <v>21</v>
      </c>
      <c r="AH58">
        <v>9</v>
      </c>
      <c r="AI58">
        <v>1</v>
      </c>
      <c r="AJ58">
        <v>20</v>
      </c>
      <c r="AK58">
        <v>7.5</v>
      </c>
      <c r="AL58">
        <v>1.69</v>
      </c>
      <c r="AM58">
        <v>0</v>
      </c>
      <c r="AN58">
        <v>1.69</v>
      </c>
      <c r="AO58">
        <v>1.32</v>
      </c>
      <c r="AP58">
        <v>0</v>
      </c>
      <c r="AQ58">
        <v>1.32</v>
      </c>
    </row>
    <row r="59" spans="1:43" hidden="1" x14ac:dyDescent="0.25">
      <c r="A59" s="1">
        <v>45809</v>
      </c>
      <c r="B59" t="s">
        <v>32</v>
      </c>
      <c r="C59" t="s">
        <v>36</v>
      </c>
      <c r="D59" t="s">
        <v>36</v>
      </c>
      <c r="E59" t="s">
        <v>32</v>
      </c>
      <c r="F59" t="s">
        <v>34</v>
      </c>
      <c r="G59">
        <v>0</v>
      </c>
      <c r="H59">
        <v>4</v>
      </c>
      <c r="I59">
        <v>4</v>
      </c>
      <c r="J59">
        <v>0</v>
      </c>
      <c r="K59">
        <v>4</v>
      </c>
      <c r="L59">
        <v>436.25</v>
      </c>
      <c r="M59">
        <v>4</v>
      </c>
      <c r="N59">
        <v>3</v>
      </c>
      <c r="O59">
        <v>0.75</v>
      </c>
      <c r="P59">
        <v>1</v>
      </c>
      <c r="Q59">
        <v>0</v>
      </c>
      <c r="R59">
        <v>0.7</v>
      </c>
      <c r="S59">
        <v>0.21</v>
      </c>
      <c r="T59">
        <v>0.03</v>
      </c>
      <c r="U59">
        <v>638.5</v>
      </c>
      <c r="V59">
        <v>0</v>
      </c>
      <c r="W59">
        <v>0</v>
      </c>
      <c r="X59">
        <v>0</v>
      </c>
      <c r="Y59">
        <v>436.25</v>
      </c>
      <c r="Z59">
        <v>0.48</v>
      </c>
      <c r="AA59">
        <v>0</v>
      </c>
      <c r="AB59">
        <v>0.48</v>
      </c>
      <c r="AC59">
        <v>0.48</v>
      </c>
      <c r="AD59">
        <v>0</v>
      </c>
      <c r="AE59">
        <v>0.48</v>
      </c>
      <c r="AF59">
        <v>30</v>
      </c>
      <c r="AG59">
        <v>21</v>
      </c>
      <c r="AH59">
        <v>9</v>
      </c>
      <c r="AI59">
        <v>1</v>
      </c>
      <c r="AJ59">
        <v>20</v>
      </c>
      <c r="AK59">
        <v>7.5</v>
      </c>
      <c r="AL59">
        <v>0.01</v>
      </c>
      <c r="AM59">
        <v>0</v>
      </c>
      <c r="AN59">
        <v>0.01</v>
      </c>
      <c r="AO59">
        <v>0.01</v>
      </c>
      <c r="AP59">
        <v>0</v>
      </c>
      <c r="AQ59">
        <v>0.01</v>
      </c>
    </row>
    <row r="60" spans="1:43" hidden="1" x14ac:dyDescent="0.25">
      <c r="A60" s="1">
        <v>45809</v>
      </c>
      <c r="B60" t="s">
        <v>32</v>
      </c>
      <c r="C60" t="s">
        <v>37</v>
      </c>
      <c r="D60" t="s">
        <v>37</v>
      </c>
      <c r="E60" t="s">
        <v>32</v>
      </c>
      <c r="F60" t="s">
        <v>34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1</v>
      </c>
      <c r="Q60">
        <v>0</v>
      </c>
      <c r="R60">
        <v>0.7</v>
      </c>
      <c r="S60">
        <v>0.21</v>
      </c>
      <c r="T60">
        <v>0.03</v>
      </c>
      <c r="U60">
        <v>496.05</v>
      </c>
      <c r="V60">
        <v>0</v>
      </c>
      <c r="W60">
        <v>0</v>
      </c>
      <c r="X60">
        <v>0</v>
      </c>
      <c r="Y60" t="s">
        <v>125</v>
      </c>
      <c r="Z60">
        <v>0</v>
      </c>
      <c r="AA60" t="s">
        <v>125</v>
      </c>
      <c r="AB60" t="s">
        <v>125</v>
      </c>
      <c r="AC60">
        <v>0</v>
      </c>
      <c r="AD60" t="s">
        <v>125</v>
      </c>
      <c r="AE60" t="s">
        <v>125</v>
      </c>
      <c r="AF60">
        <v>30</v>
      </c>
      <c r="AG60">
        <v>21</v>
      </c>
      <c r="AH60">
        <v>9</v>
      </c>
      <c r="AI60">
        <v>1</v>
      </c>
      <c r="AJ60">
        <v>20</v>
      </c>
      <c r="AK60">
        <v>7.5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</row>
    <row r="61" spans="1:43" hidden="1" x14ac:dyDescent="0.25">
      <c r="A61" s="1">
        <v>45809</v>
      </c>
      <c r="B61" t="s">
        <v>32</v>
      </c>
      <c r="C61" t="s">
        <v>38</v>
      </c>
      <c r="D61" t="s">
        <v>38</v>
      </c>
      <c r="E61" t="s">
        <v>32</v>
      </c>
      <c r="F61" t="s">
        <v>34</v>
      </c>
      <c r="G61">
        <v>0</v>
      </c>
      <c r="H61">
        <v>4636</v>
      </c>
      <c r="I61">
        <v>4985</v>
      </c>
      <c r="J61">
        <v>0</v>
      </c>
      <c r="K61">
        <v>4985</v>
      </c>
      <c r="L61">
        <v>594.25</v>
      </c>
      <c r="M61">
        <v>4469</v>
      </c>
      <c r="N61">
        <v>3792</v>
      </c>
      <c r="O61">
        <v>0.84850000000000003</v>
      </c>
      <c r="P61">
        <v>0.47470000000000001</v>
      </c>
      <c r="Q61">
        <v>0.52529999999999999</v>
      </c>
      <c r="R61">
        <v>0.7</v>
      </c>
      <c r="S61">
        <v>0.21</v>
      </c>
      <c r="T61">
        <v>0.03</v>
      </c>
      <c r="U61">
        <v>573.95000000000005</v>
      </c>
      <c r="V61">
        <v>0.7</v>
      </c>
      <c r="W61">
        <v>0.21</v>
      </c>
      <c r="X61">
        <v>0.03</v>
      </c>
      <c r="Y61">
        <v>594.25</v>
      </c>
      <c r="Z61">
        <v>363.27</v>
      </c>
      <c r="AA61">
        <v>401.99</v>
      </c>
      <c r="AB61">
        <v>765.26</v>
      </c>
      <c r="AC61">
        <v>390.62</v>
      </c>
      <c r="AD61">
        <v>432.25</v>
      </c>
      <c r="AE61">
        <v>822.87</v>
      </c>
      <c r="AF61">
        <v>30</v>
      </c>
      <c r="AG61">
        <v>21</v>
      </c>
      <c r="AH61">
        <v>9</v>
      </c>
      <c r="AI61">
        <v>1</v>
      </c>
      <c r="AJ61">
        <v>20</v>
      </c>
      <c r="AK61">
        <v>7.5</v>
      </c>
      <c r="AL61">
        <v>4.51</v>
      </c>
      <c r="AM61">
        <v>4.99</v>
      </c>
      <c r="AN61">
        <v>9.5</v>
      </c>
      <c r="AO61">
        <v>4.8499999999999996</v>
      </c>
      <c r="AP61">
        <v>5.37</v>
      </c>
      <c r="AQ61">
        <v>10.219999999999899</v>
      </c>
    </row>
    <row r="62" spans="1:43" hidden="1" x14ac:dyDescent="0.25">
      <c r="A62" s="1">
        <v>45809</v>
      </c>
      <c r="B62" t="s">
        <v>32</v>
      </c>
      <c r="C62" t="s">
        <v>39</v>
      </c>
      <c r="D62" t="s">
        <v>39</v>
      </c>
      <c r="E62" t="s">
        <v>32</v>
      </c>
      <c r="F62" t="s">
        <v>34</v>
      </c>
      <c r="G62">
        <v>0</v>
      </c>
      <c r="H62">
        <v>433</v>
      </c>
      <c r="I62">
        <v>114</v>
      </c>
      <c r="J62">
        <v>0</v>
      </c>
      <c r="K62">
        <v>114</v>
      </c>
      <c r="L62">
        <v>600.91</v>
      </c>
      <c r="M62">
        <v>433</v>
      </c>
      <c r="N62">
        <v>310</v>
      </c>
      <c r="O62">
        <v>0.71589999999999998</v>
      </c>
      <c r="P62">
        <v>1</v>
      </c>
      <c r="Q62">
        <v>0</v>
      </c>
      <c r="R62">
        <v>0.7</v>
      </c>
      <c r="S62">
        <v>0.21</v>
      </c>
      <c r="T62">
        <v>0.03</v>
      </c>
      <c r="U62">
        <v>558.58000000000004</v>
      </c>
      <c r="V62">
        <v>0</v>
      </c>
      <c r="W62">
        <v>0</v>
      </c>
      <c r="X62">
        <v>0</v>
      </c>
      <c r="Y62">
        <v>600.91</v>
      </c>
      <c r="Z62">
        <v>72.28</v>
      </c>
      <c r="AA62">
        <v>0</v>
      </c>
      <c r="AB62">
        <v>72.28</v>
      </c>
      <c r="AC62">
        <v>19.03</v>
      </c>
      <c r="AD62">
        <v>0</v>
      </c>
      <c r="AE62">
        <v>19.03</v>
      </c>
      <c r="AF62">
        <v>30</v>
      </c>
      <c r="AG62">
        <v>21</v>
      </c>
      <c r="AH62">
        <v>9</v>
      </c>
      <c r="AI62">
        <v>1</v>
      </c>
      <c r="AJ62">
        <v>20</v>
      </c>
      <c r="AK62">
        <v>7.5</v>
      </c>
      <c r="AL62">
        <v>0.9</v>
      </c>
      <c r="AM62">
        <v>0</v>
      </c>
      <c r="AN62">
        <v>0.9</v>
      </c>
      <c r="AO62">
        <v>0.24</v>
      </c>
      <c r="AP62">
        <v>0</v>
      </c>
      <c r="AQ62">
        <v>0.24</v>
      </c>
    </row>
    <row r="63" spans="1:43" hidden="1" x14ac:dyDescent="0.25">
      <c r="A63" s="1">
        <v>45809</v>
      </c>
      <c r="B63" t="s">
        <v>32</v>
      </c>
      <c r="C63" t="s">
        <v>40</v>
      </c>
      <c r="D63" t="s">
        <v>40</v>
      </c>
      <c r="E63" t="s">
        <v>32</v>
      </c>
      <c r="F63" t="s">
        <v>34</v>
      </c>
      <c r="G63">
        <v>0</v>
      </c>
      <c r="H63">
        <v>65</v>
      </c>
      <c r="I63">
        <v>36</v>
      </c>
      <c r="J63">
        <v>0</v>
      </c>
      <c r="K63">
        <v>36</v>
      </c>
      <c r="L63">
        <v>880.66</v>
      </c>
      <c r="M63">
        <v>64</v>
      </c>
      <c r="N63">
        <v>50</v>
      </c>
      <c r="O63">
        <v>0.78129999999999999</v>
      </c>
      <c r="P63">
        <v>6.5600000000000006E-2</v>
      </c>
      <c r="Q63">
        <v>0.93440000000000001</v>
      </c>
      <c r="R63">
        <v>0.7</v>
      </c>
      <c r="S63">
        <v>0.21</v>
      </c>
      <c r="T63">
        <v>0.03</v>
      </c>
      <c r="U63">
        <v>668.21</v>
      </c>
      <c r="V63">
        <v>0.7</v>
      </c>
      <c r="W63">
        <v>0.21</v>
      </c>
      <c r="X63">
        <v>0.03</v>
      </c>
      <c r="Y63">
        <v>880.66</v>
      </c>
      <c r="Z63">
        <v>1.04</v>
      </c>
      <c r="AA63">
        <v>14.86</v>
      </c>
      <c r="AB63">
        <v>15.9</v>
      </c>
      <c r="AC63">
        <v>0.57999999999999996</v>
      </c>
      <c r="AD63">
        <v>8.23</v>
      </c>
      <c r="AE63">
        <v>8.81</v>
      </c>
      <c r="AF63">
        <v>30</v>
      </c>
      <c r="AG63">
        <v>21</v>
      </c>
      <c r="AH63">
        <v>9</v>
      </c>
      <c r="AI63">
        <v>1</v>
      </c>
      <c r="AJ63">
        <v>20</v>
      </c>
      <c r="AK63">
        <v>7.5</v>
      </c>
      <c r="AL63">
        <v>0.01</v>
      </c>
      <c r="AM63">
        <v>0.18</v>
      </c>
      <c r="AN63">
        <v>0.19</v>
      </c>
      <c r="AO63">
        <v>0.01</v>
      </c>
      <c r="AP63">
        <v>0.1</v>
      </c>
      <c r="AQ63">
        <v>0.11</v>
      </c>
    </row>
    <row r="64" spans="1:43" hidden="1" x14ac:dyDescent="0.25">
      <c r="A64" s="1">
        <v>45809</v>
      </c>
      <c r="B64" t="s">
        <v>32</v>
      </c>
      <c r="C64" t="s">
        <v>41</v>
      </c>
      <c r="D64" t="s">
        <v>41</v>
      </c>
      <c r="E64" t="s">
        <v>32</v>
      </c>
      <c r="F64" t="s">
        <v>34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 t="s">
        <v>125</v>
      </c>
      <c r="Z64">
        <v>0</v>
      </c>
      <c r="AA64" t="s">
        <v>125</v>
      </c>
      <c r="AB64" t="s">
        <v>125</v>
      </c>
      <c r="AC64">
        <v>0</v>
      </c>
      <c r="AD64" t="s">
        <v>125</v>
      </c>
      <c r="AE64" t="s">
        <v>125</v>
      </c>
      <c r="AF64">
        <v>30</v>
      </c>
      <c r="AG64">
        <v>21</v>
      </c>
      <c r="AH64">
        <v>9</v>
      </c>
      <c r="AI64">
        <v>1</v>
      </c>
      <c r="AJ64">
        <v>20</v>
      </c>
      <c r="AK64">
        <v>7.5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</row>
    <row r="65" spans="1:43" hidden="1" x14ac:dyDescent="0.25">
      <c r="A65" s="1">
        <v>45809</v>
      </c>
      <c r="B65" t="s">
        <v>32</v>
      </c>
      <c r="C65" t="s">
        <v>42</v>
      </c>
      <c r="D65" t="s">
        <v>42</v>
      </c>
      <c r="E65" t="s">
        <v>32</v>
      </c>
      <c r="F65" t="s">
        <v>34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125</v>
      </c>
      <c r="Z65">
        <v>0</v>
      </c>
      <c r="AA65" t="s">
        <v>125</v>
      </c>
      <c r="AB65" t="s">
        <v>125</v>
      </c>
      <c r="AC65">
        <v>0</v>
      </c>
      <c r="AD65" t="s">
        <v>125</v>
      </c>
      <c r="AE65" t="s">
        <v>125</v>
      </c>
      <c r="AF65">
        <v>30</v>
      </c>
      <c r="AG65">
        <v>21</v>
      </c>
      <c r="AH65">
        <v>9</v>
      </c>
      <c r="AI65">
        <v>1</v>
      </c>
      <c r="AJ65">
        <v>20</v>
      </c>
      <c r="AK65">
        <v>7.5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</row>
    <row r="66" spans="1:43" hidden="1" x14ac:dyDescent="0.25">
      <c r="A66" s="1">
        <v>45809</v>
      </c>
      <c r="B66" t="s">
        <v>32</v>
      </c>
      <c r="C66" t="s">
        <v>43</v>
      </c>
      <c r="D66" t="s">
        <v>43</v>
      </c>
      <c r="E66" t="s">
        <v>32</v>
      </c>
      <c r="F66" t="s">
        <v>34</v>
      </c>
      <c r="G66">
        <v>0</v>
      </c>
      <c r="H66">
        <v>2</v>
      </c>
      <c r="I66">
        <v>1</v>
      </c>
      <c r="J66">
        <v>0</v>
      </c>
      <c r="K66">
        <v>1</v>
      </c>
      <c r="L66">
        <v>298.5</v>
      </c>
      <c r="M66">
        <v>2</v>
      </c>
      <c r="N66">
        <v>2</v>
      </c>
      <c r="O66">
        <v>1</v>
      </c>
      <c r="P66">
        <v>1</v>
      </c>
      <c r="Q66">
        <v>0</v>
      </c>
      <c r="R66">
        <v>0.7</v>
      </c>
      <c r="S66">
        <v>0.21</v>
      </c>
      <c r="T66">
        <v>0.03</v>
      </c>
      <c r="U66">
        <v>744.14</v>
      </c>
      <c r="V66">
        <v>0</v>
      </c>
      <c r="W66">
        <v>0</v>
      </c>
      <c r="X66">
        <v>0</v>
      </c>
      <c r="Y66">
        <v>298.5</v>
      </c>
      <c r="Z66">
        <v>0.17</v>
      </c>
      <c r="AA66">
        <v>0</v>
      </c>
      <c r="AB66">
        <v>0.17</v>
      </c>
      <c r="AC66">
        <v>0.08</v>
      </c>
      <c r="AD66">
        <v>0</v>
      </c>
      <c r="AE66">
        <v>0.08</v>
      </c>
      <c r="AF66">
        <v>30</v>
      </c>
      <c r="AG66">
        <v>21</v>
      </c>
      <c r="AH66">
        <v>9</v>
      </c>
      <c r="AI66">
        <v>1</v>
      </c>
      <c r="AJ66">
        <v>20</v>
      </c>
      <c r="AK66">
        <v>7.5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</row>
    <row r="67" spans="1:43" hidden="1" x14ac:dyDescent="0.25">
      <c r="A67" s="1">
        <v>45809</v>
      </c>
      <c r="B67" t="s">
        <v>32</v>
      </c>
      <c r="C67" t="s">
        <v>44</v>
      </c>
      <c r="D67" t="s">
        <v>44</v>
      </c>
      <c r="E67" t="s">
        <v>32</v>
      </c>
      <c r="F67" t="s">
        <v>34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1</v>
      </c>
      <c r="Q67">
        <v>0</v>
      </c>
      <c r="R67">
        <v>0.7</v>
      </c>
      <c r="S67">
        <v>0.21</v>
      </c>
      <c r="T67">
        <v>0.03</v>
      </c>
      <c r="U67">
        <v>0</v>
      </c>
      <c r="V67">
        <v>0</v>
      </c>
      <c r="W67">
        <v>0</v>
      </c>
      <c r="X67">
        <v>0</v>
      </c>
      <c r="Y67" t="s">
        <v>125</v>
      </c>
      <c r="Z67">
        <v>0</v>
      </c>
      <c r="AA67" t="s">
        <v>125</v>
      </c>
      <c r="AB67" t="s">
        <v>125</v>
      </c>
      <c r="AC67">
        <v>0</v>
      </c>
      <c r="AD67" t="s">
        <v>125</v>
      </c>
      <c r="AE67" t="s">
        <v>125</v>
      </c>
      <c r="AF67">
        <v>30</v>
      </c>
      <c r="AG67">
        <v>21</v>
      </c>
      <c r="AH67">
        <v>9</v>
      </c>
      <c r="AI67">
        <v>1</v>
      </c>
      <c r="AJ67">
        <v>20</v>
      </c>
      <c r="AK67">
        <v>7.5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</row>
    <row r="68" spans="1:43" hidden="1" x14ac:dyDescent="0.25">
      <c r="A68" s="1">
        <v>45839</v>
      </c>
      <c r="B68" t="s">
        <v>32</v>
      </c>
      <c r="C68" t="s">
        <v>33</v>
      </c>
      <c r="D68" t="s">
        <v>33</v>
      </c>
      <c r="E68" t="s">
        <v>32</v>
      </c>
      <c r="F68" t="s">
        <v>34</v>
      </c>
      <c r="G68">
        <v>0</v>
      </c>
      <c r="H68">
        <v>38</v>
      </c>
      <c r="I68">
        <v>32</v>
      </c>
      <c r="J68">
        <v>0</v>
      </c>
      <c r="K68">
        <v>32</v>
      </c>
      <c r="L68">
        <v>738.88</v>
      </c>
      <c r="M68">
        <v>32</v>
      </c>
      <c r="N68">
        <v>23</v>
      </c>
      <c r="O68">
        <v>0.71879999999999999</v>
      </c>
      <c r="P68">
        <v>1</v>
      </c>
      <c r="Q68">
        <v>0</v>
      </c>
      <c r="R68">
        <v>0.7</v>
      </c>
      <c r="S68">
        <v>0.21</v>
      </c>
      <c r="T68">
        <v>0.03</v>
      </c>
      <c r="U68">
        <v>441.17</v>
      </c>
      <c r="V68">
        <v>0</v>
      </c>
      <c r="W68">
        <v>0</v>
      </c>
      <c r="X68">
        <v>0</v>
      </c>
      <c r="Y68">
        <v>738.88</v>
      </c>
      <c r="Z68">
        <v>7.8</v>
      </c>
      <c r="AA68">
        <v>0</v>
      </c>
      <c r="AB68">
        <v>7.8</v>
      </c>
      <c r="AC68">
        <v>6.57</v>
      </c>
      <c r="AD68">
        <v>0</v>
      </c>
      <c r="AE68">
        <v>6.57</v>
      </c>
      <c r="AF68">
        <v>31</v>
      </c>
      <c r="AG68">
        <v>23</v>
      </c>
      <c r="AH68">
        <v>8</v>
      </c>
      <c r="AI68">
        <v>1</v>
      </c>
      <c r="AJ68">
        <v>22</v>
      </c>
      <c r="AK68">
        <v>7.5</v>
      </c>
      <c r="AL68">
        <v>0.09</v>
      </c>
      <c r="AM68">
        <v>0</v>
      </c>
      <c r="AN68">
        <v>0.09</v>
      </c>
      <c r="AO68">
        <v>7.0000000000000007E-2</v>
      </c>
      <c r="AP68">
        <v>0</v>
      </c>
      <c r="AQ68">
        <v>7.0000000000000007E-2</v>
      </c>
    </row>
    <row r="69" spans="1:43" hidden="1" x14ac:dyDescent="0.25">
      <c r="A69" s="1">
        <v>45839</v>
      </c>
      <c r="B69" t="s">
        <v>32</v>
      </c>
      <c r="C69" t="s">
        <v>32</v>
      </c>
      <c r="D69" t="s">
        <v>32</v>
      </c>
      <c r="E69" t="s">
        <v>32</v>
      </c>
      <c r="F69" t="s">
        <v>35</v>
      </c>
      <c r="G69">
        <v>0</v>
      </c>
      <c r="H69">
        <v>430</v>
      </c>
      <c r="I69">
        <v>350</v>
      </c>
      <c r="J69">
        <v>0</v>
      </c>
      <c r="K69">
        <v>350</v>
      </c>
      <c r="L69">
        <v>1145.3800000000001</v>
      </c>
      <c r="M69">
        <v>290</v>
      </c>
      <c r="N69">
        <v>171</v>
      </c>
      <c r="O69">
        <v>0.5897</v>
      </c>
      <c r="P69">
        <v>1</v>
      </c>
      <c r="Q69">
        <v>0</v>
      </c>
      <c r="R69">
        <v>0.7</v>
      </c>
      <c r="S69">
        <v>0.21</v>
      </c>
      <c r="T69">
        <v>0.03</v>
      </c>
      <c r="U69">
        <v>1107.99</v>
      </c>
      <c r="V69">
        <v>0</v>
      </c>
      <c r="W69">
        <v>0</v>
      </c>
      <c r="X69">
        <v>0</v>
      </c>
      <c r="Y69">
        <v>1145.3800000000001</v>
      </c>
      <c r="Z69">
        <v>136.81</v>
      </c>
      <c r="AA69">
        <v>0</v>
      </c>
      <c r="AB69">
        <v>136.81</v>
      </c>
      <c r="AC69">
        <v>111.36</v>
      </c>
      <c r="AD69">
        <v>0</v>
      </c>
      <c r="AE69">
        <v>111.36</v>
      </c>
      <c r="AF69">
        <v>31</v>
      </c>
      <c r="AG69">
        <v>23</v>
      </c>
      <c r="AH69">
        <v>8</v>
      </c>
      <c r="AI69">
        <v>1</v>
      </c>
      <c r="AJ69">
        <v>22</v>
      </c>
      <c r="AK69">
        <v>7.5</v>
      </c>
      <c r="AL69">
        <v>1.54</v>
      </c>
      <c r="AM69">
        <v>0</v>
      </c>
      <c r="AN69">
        <v>1.54</v>
      </c>
      <c r="AO69">
        <v>1.26</v>
      </c>
      <c r="AP69">
        <v>0</v>
      </c>
      <c r="AQ69">
        <v>1.26</v>
      </c>
    </row>
    <row r="70" spans="1:43" hidden="1" x14ac:dyDescent="0.25">
      <c r="A70" s="1">
        <v>45839</v>
      </c>
      <c r="B70" t="s">
        <v>32</v>
      </c>
      <c r="C70" t="s">
        <v>36</v>
      </c>
      <c r="D70" t="s">
        <v>36</v>
      </c>
      <c r="E70" t="s">
        <v>32</v>
      </c>
      <c r="F70" t="s">
        <v>34</v>
      </c>
      <c r="G70">
        <v>0</v>
      </c>
      <c r="H70">
        <v>5</v>
      </c>
      <c r="I70">
        <v>4</v>
      </c>
      <c r="J70">
        <v>0</v>
      </c>
      <c r="K70">
        <v>4</v>
      </c>
      <c r="L70">
        <v>436.8</v>
      </c>
      <c r="M70">
        <v>5</v>
      </c>
      <c r="N70">
        <v>1</v>
      </c>
      <c r="O70">
        <v>0.2</v>
      </c>
      <c r="P70">
        <v>1</v>
      </c>
      <c r="Q70">
        <v>0</v>
      </c>
      <c r="R70">
        <v>0.7</v>
      </c>
      <c r="S70">
        <v>0.21</v>
      </c>
      <c r="T70">
        <v>0.03</v>
      </c>
      <c r="U70">
        <v>651.08000000000004</v>
      </c>
      <c r="V70">
        <v>0</v>
      </c>
      <c r="W70">
        <v>0</v>
      </c>
      <c r="X70">
        <v>0</v>
      </c>
      <c r="Y70">
        <v>436.8</v>
      </c>
      <c r="Z70">
        <v>0.61</v>
      </c>
      <c r="AA70">
        <v>0</v>
      </c>
      <c r="AB70">
        <v>0.61</v>
      </c>
      <c r="AC70">
        <v>0.49</v>
      </c>
      <c r="AD70">
        <v>0</v>
      </c>
      <c r="AE70">
        <v>0.49</v>
      </c>
      <c r="AF70">
        <v>31</v>
      </c>
      <c r="AG70">
        <v>23</v>
      </c>
      <c r="AH70">
        <v>8</v>
      </c>
      <c r="AI70">
        <v>1</v>
      </c>
      <c r="AJ70">
        <v>22</v>
      </c>
      <c r="AK70">
        <v>7.5</v>
      </c>
      <c r="AL70">
        <v>0.01</v>
      </c>
      <c r="AM70">
        <v>0</v>
      </c>
      <c r="AN70">
        <v>0.01</v>
      </c>
      <c r="AO70">
        <v>0.01</v>
      </c>
      <c r="AP70">
        <v>0</v>
      </c>
      <c r="AQ70">
        <v>0.01</v>
      </c>
    </row>
    <row r="71" spans="1:43" hidden="1" x14ac:dyDescent="0.25">
      <c r="A71" s="1">
        <v>45839</v>
      </c>
      <c r="B71" t="s">
        <v>32</v>
      </c>
      <c r="C71" t="s">
        <v>37</v>
      </c>
      <c r="D71" t="s">
        <v>37</v>
      </c>
      <c r="E71" t="s">
        <v>32</v>
      </c>
      <c r="F71" t="s">
        <v>34</v>
      </c>
      <c r="G71">
        <v>0</v>
      </c>
      <c r="H71">
        <v>5</v>
      </c>
      <c r="I71">
        <v>1</v>
      </c>
      <c r="J71">
        <v>0</v>
      </c>
      <c r="K71">
        <v>1</v>
      </c>
      <c r="L71">
        <v>587</v>
      </c>
      <c r="M71">
        <v>3</v>
      </c>
      <c r="N71">
        <v>2</v>
      </c>
      <c r="O71">
        <v>0.66669999999999996</v>
      </c>
      <c r="P71">
        <v>1</v>
      </c>
      <c r="Q71">
        <v>0</v>
      </c>
      <c r="R71">
        <v>0.7</v>
      </c>
      <c r="S71">
        <v>0.21</v>
      </c>
      <c r="T71">
        <v>0.03</v>
      </c>
      <c r="U71">
        <v>570.24</v>
      </c>
      <c r="V71">
        <v>0</v>
      </c>
      <c r="W71">
        <v>0</v>
      </c>
      <c r="X71">
        <v>0</v>
      </c>
      <c r="Y71">
        <v>587</v>
      </c>
      <c r="Z71">
        <v>0.82</v>
      </c>
      <c r="AA71">
        <v>0</v>
      </c>
      <c r="AB71">
        <v>0.82</v>
      </c>
      <c r="AC71">
        <v>0.16</v>
      </c>
      <c r="AD71">
        <v>0</v>
      </c>
      <c r="AE71">
        <v>0.16</v>
      </c>
      <c r="AF71">
        <v>31</v>
      </c>
      <c r="AG71">
        <v>23</v>
      </c>
      <c r="AH71">
        <v>8</v>
      </c>
      <c r="AI71">
        <v>1</v>
      </c>
      <c r="AJ71">
        <v>22</v>
      </c>
      <c r="AK71">
        <v>7.5</v>
      </c>
      <c r="AL71">
        <v>0.01</v>
      </c>
      <c r="AM71">
        <v>0</v>
      </c>
      <c r="AN71">
        <v>0.01</v>
      </c>
      <c r="AO71">
        <v>0</v>
      </c>
      <c r="AP71">
        <v>0</v>
      </c>
      <c r="AQ71">
        <v>0</v>
      </c>
    </row>
    <row r="72" spans="1:43" hidden="1" x14ac:dyDescent="0.25">
      <c r="A72" s="1">
        <v>45839</v>
      </c>
      <c r="B72" t="s">
        <v>32</v>
      </c>
      <c r="C72" t="s">
        <v>38</v>
      </c>
      <c r="D72" t="s">
        <v>38</v>
      </c>
      <c r="E72" t="s">
        <v>32</v>
      </c>
      <c r="F72" t="s">
        <v>34</v>
      </c>
      <c r="G72">
        <v>0</v>
      </c>
      <c r="H72">
        <v>5739</v>
      </c>
      <c r="I72">
        <v>5485</v>
      </c>
      <c r="J72">
        <v>0</v>
      </c>
      <c r="K72">
        <v>5485</v>
      </c>
      <c r="L72">
        <v>628.39</v>
      </c>
      <c r="M72">
        <v>5354</v>
      </c>
      <c r="N72">
        <v>4303</v>
      </c>
      <c r="O72">
        <v>0.80369999999999997</v>
      </c>
      <c r="P72">
        <v>0.49280000000000002</v>
      </c>
      <c r="Q72">
        <v>0.50719999999999998</v>
      </c>
      <c r="R72">
        <v>0.7</v>
      </c>
      <c r="S72">
        <v>0.21</v>
      </c>
      <c r="T72">
        <v>0.03</v>
      </c>
      <c r="U72">
        <v>571.39</v>
      </c>
      <c r="V72">
        <v>0.7</v>
      </c>
      <c r="W72">
        <v>0.21</v>
      </c>
      <c r="X72">
        <v>0.03</v>
      </c>
      <c r="Y72">
        <v>628.39</v>
      </c>
      <c r="Z72">
        <v>493.67</v>
      </c>
      <c r="AA72">
        <v>508.09</v>
      </c>
      <c r="AB72">
        <v>1001.76</v>
      </c>
      <c r="AC72">
        <v>471.82</v>
      </c>
      <c r="AD72">
        <v>485.6</v>
      </c>
      <c r="AE72">
        <v>957.42</v>
      </c>
      <c r="AF72">
        <v>31</v>
      </c>
      <c r="AG72">
        <v>23</v>
      </c>
      <c r="AH72">
        <v>8</v>
      </c>
      <c r="AI72">
        <v>1</v>
      </c>
      <c r="AJ72">
        <v>22</v>
      </c>
      <c r="AK72">
        <v>7.5</v>
      </c>
      <c r="AL72">
        <v>5.57</v>
      </c>
      <c r="AM72">
        <v>5.74</v>
      </c>
      <c r="AN72">
        <v>11.31</v>
      </c>
      <c r="AO72">
        <v>5.33</v>
      </c>
      <c r="AP72">
        <v>5.48</v>
      </c>
      <c r="AQ72">
        <v>10.81</v>
      </c>
    </row>
    <row r="73" spans="1:43" hidden="1" x14ac:dyDescent="0.25">
      <c r="A73" s="1">
        <v>45839</v>
      </c>
      <c r="B73" t="s">
        <v>32</v>
      </c>
      <c r="C73" t="s">
        <v>39</v>
      </c>
      <c r="D73" t="s">
        <v>39</v>
      </c>
      <c r="E73" t="s">
        <v>32</v>
      </c>
      <c r="F73" t="s">
        <v>34</v>
      </c>
      <c r="G73">
        <v>0</v>
      </c>
      <c r="H73">
        <v>736</v>
      </c>
      <c r="I73">
        <v>125</v>
      </c>
      <c r="J73">
        <v>0</v>
      </c>
      <c r="K73">
        <v>125</v>
      </c>
      <c r="L73">
        <v>571.38</v>
      </c>
      <c r="M73">
        <v>736</v>
      </c>
      <c r="N73">
        <v>446</v>
      </c>
      <c r="O73">
        <v>0.60599999999999998</v>
      </c>
      <c r="P73">
        <v>1</v>
      </c>
      <c r="Q73">
        <v>0</v>
      </c>
      <c r="R73">
        <v>0.7</v>
      </c>
      <c r="S73">
        <v>0.21</v>
      </c>
      <c r="T73">
        <v>0.03</v>
      </c>
      <c r="U73">
        <v>566.28</v>
      </c>
      <c r="V73">
        <v>0</v>
      </c>
      <c r="W73">
        <v>0</v>
      </c>
      <c r="X73">
        <v>0</v>
      </c>
      <c r="Y73">
        <v>571.38</v>
      </c>
      <c r="Z73">
        <v>116.82</v>
      </c>
      <c r="AA73">
        <v>0</v>
      </c>
      <c r="AB73">
        <v>116.82</v>
      </c>
      <c r="AC73">
        <v>19.84</v>
      </c>
      <c r="AD73">
        <v>0</v>
      </c>
      <c r="AE73">
        <v>19.84</v>
      </c>
      <c r="AF73">
        <v>31</v>
      </c>
      <c r="AG73">
        <v>23</v>
      </c>
      <c r="AH73">
        <v>8</v>
      </c>
      <c r="AI73">
        <v>1</v>
      </c>
      <c r="AJ73">
        <v>22</v>
      </c>
      <c r="AK73">
        <v>7.5</v>
      </c>
      <c r="AL73">
        <v>1.32</v>
      </c>
      <c r="AM73">
        <v>0</v>
      </c>
      <c r="AN73">
        <v>1.32</v>
      </c>
      <c r="AO73">
        <v>0.22</v>
      </c>
      <c r="AP73">
        <v>0</v>
      </c>
      <c r="AQ73">
        <v>0.22</v>
      </c>
    </row>
    <row r="74" spans="1:43" hidden="1" x14ac:dyDescent="0.25">
      <c r="A74" s="1">
        <v>45839</v>
      </c>
      <c r="B74" t="s">
        <v>32</v>
      </c>
      <c r="C74" t="s">
        <v>40</v>
      </c>
      <c r="D74" t="s">
        <v>40</v>
      </c>
      <c r="E74" t="s">
        <v>32</v>
      </c>
      <c r="F74" t="s">
        <v>34</v>
      </c>
      <c r="G74">
        <v>0</v>
      </c>
      <c r="H74">
        <v>48</v>
      </c>
      <c r="I74">
        <v>40</v>
      </c>
      <c r="J74">
        <v>0</v>
      </c>
      <c r="K74">
        <v>40</v>
      </c>
      <c r="L74">
        <v>717.21</v>
      </c>
      <c r="M74">
        <v>48</v>
      </c>
      <c r="N74">
        <v>39</v>
      </c>
      <c r="O74">
        <v>0.8125</v>
      </c>
      <c r="P74">
        <v>6.3799999999999996E-2</v>
      </c>
      <c r="Q74">
        <v>0.93620000000000003</v>
      </c>
      <c r="R74">
        <v>0.7</v>
      </c>
      <c r="S74">
        <v>0.21</v>
      </c>
      <c r="T74">
        <v>0.03</v>
      </c>
      <c r="U74">
        <v>714.79</v>
      </c>
      <c r="V74">
        <v>0.7</v>
      </c>
      <c r="W74">
        <v>0.21</v>
      </c>
      <c r="X74">
        <v>0.03</v>
      </c>
      <c r="Y74">
        <v>717.21</v>
      </c>
      <c r="Z74">
        <v>0.61</v>
      </c>
      <c r="AA74">
        <v>8.9499999999999993</v>
      </c>
      <c r="AB74">
        <v>9.56</v>
      </c>
      <c r="AC74">
        <v>0.51</v>
      </c>
      <c r="AD74">
        <v>7.46</v>
      </c>
      <c r="AE74">
        <v>7.97</v>
      </c>
      <c r="AF74">
        <v>31</v>
      </c>
      <c r="AG74">
        <v>23</v>
      </c>
      <c r="AH74">
        <v>8</v>
      </c>
      <c r="AI74">
        <v>1</v>
      </c>
      <c r="AJ74">
        <v>22</v>
      </c>
      <c r="AK74">
        <v>7.5</v>
      </c>
      <c r="AL74">
        <v>0.01</v>
      </c>
      <c r="AM74">
        <v>0.1</v>
      </c>
      <c r="AN74">
        <v>0.11</v>
      </c>
      <c r="AO74">
        <v>0.01</v>
      </c>
      <c r="AP74">
        <v>0.08</v>
      </c>
      <c r="AQ74">
        <v>0.09</v>
      </c>
    </row>
    <row r="75" spans="1:43" hidden="1" x14ac:dyDescent="0.25">
      <c r="A75" s="1">
        <v>45839</v>
      </c>
      <c r="B75" t="s">
        <v>32</v>
      </c>
      <c r="C75" t="s">
        <v>41</v>
      </c>
      <c r="D75" t="s">
        <v>41</v>
      </c>
      <c r="E75" t="s">
        <v>32</v>
      </c>
      <c r="F75" t="s">
        <v>34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125</v>
      </c>
      <c r="Z75">
        <v>0</v>
      </c>
      <c r="AA75" t="s">
        <v>125</v>
      </c>
      <c r="AB75" t="s">
        <v>125</v>
      </c>
      <c r="AC75">
        <v>0</v>
      </c>
      <c r="AD75" t="s">
        <v>125</v>
      </c>
      <c r="AE75" t="s">
        <v>125</v>
      </c>
      <c r="AF75">
        <v>31</v>
      </c>
      <c r="AG75">
        <v>23</v>
      </c>
      <c r="AH75">
        <v>8</v>
      </c>
      <c r="AI75">
        <v>1</v>
      </c>
      <c r="AJ75">
        <v>22</v>
      </c>
      <c r="AK75">
        <v>7.5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</row>
    <row r="76" spans="1:43" hidden="1" x14ac:dyDescent="0.25">
      <c r="A76" s="1">
        <v>45839</v>
      </c>
      <c r="B76" t="s">
        <v>32</v>
      </c>
      <c r="C76" t="s">
        <v>42</v>
      </c>
      <c r="D76" t="s">
        <v>42</v>
      </c>
      <c r="E76" t="s">
        <v>32</v>
      </c>
      <c r="F76" t="s">
        <v>34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 t="s">
        <v>125</v>
      </c>
      <c r="Z76">
        <v>0</v>
      </c>
      <c r="AA76" t="s">
        <v>125</v>
      </c>
      <c r="AB76" t="s">
        <v>125</v>
      </c>
      <c r="AC76">
        <v>0</v>
      </c>
      <c r="AD76" t="s">
        <v>125</v>
      </c>
      <c r="AE76" t="s">
        <v>125</v>
      </c>
      <c r="AF76">
        <v>31</v>
      </c>
      <c r="AG76">
        <v>23</v>
      </c>
      <c r="AH76">
        <v>8</v>
      </c>
      <c r="AI76">
        <v>1</v>
      </c>
      <c r="AJ76">
        <v>22</v>
      </c>
      <c r="AK76">
        <v>7.5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</row>
    <row r="77" spans="1:43" hidden="1" x14ac:dyDescent="0.25">
      <c r="A77" s="1">
        <v>45839</v>
      </c>
      <c r="B77" t="s">
        <v>32</v>
      </c>
      <c r="C77" t="s">
        <v>43</v>
      </c>
      <c r="D77" t="s">
        <v>43</v>
      </c>
      <c r="E77" t="s">
        <v>32</v>
      </c>
      <c r="F77" t="s">
        <v>34</v>
      </c>
      <c r="G77">
        <v>0</v>
      </c>
      <c r="H77">
        <v>2</v>
      </c>
      <c r="I77">
        <v>2</v>
      </c>
      <c r="J77">
        <v>0</v>
      </c>
      <c r="K77">
        <v>2</v>
      </c>
      <c r="L77">
        <v>345</v>
      </c>
      <c r="M77">
        <v>1</v>
      </c>
      <c r="N77">
        <v>0</v>
      </c>
      <c r="O77">
        <v>0</v>
      </c>
      <c r="P77">
        <v>1</v>
      </c>
      <c r="Q77">
        <v>0</v>
      </c>
      <c r="R77">
        <v>0.7</v>
      </c>
      <c r="S77">
        <v>0.21</v>
      </c>
      <c r="T77">
        <v>0.03</v>
      </c>
      <c r="U77">
        <v>513.89</v>
      </c>
      <c r="V77">
        <v>0</v>
      </c>
      <c r="W77">
        <v>0</v>
      </c>
      <c r="X77">
        <v>0</v>
      </c>
      <c r="Y77">
        <v>345</v>
      </c>
      <c r="Z77">
        <v>0.19</v>
      </c>
      <c r="AA77">
        <v>0</v>
      </c>
      <c r="AB77">
        <v>0.19</v>
      </c>
      <c r="AC77">
        <v>0.19</v>
      </c>
      <c r="AD77">
        <v>0</v>
      </c>
      <c r="AE77">
        <v>0.19</v>
      </c>
      <c r="AF77">
        <v>31</v>
      </c>
      <c r="AG77">
        <v>23</v>
      </c>
      <c r="AH77">
        <v>8</v>
      </c>
      <c r="AI77">
        <v>1</v>
      </c>
      <c r="AJ77">
        <v>22</v>
      </c>
      <c r="AK77">
        <v>7.5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</row>
    <row r="78" spans="1:43" hidden="1" x14ac:dyDescent="0.25">
      <c r="A78" s="1">
        <v>45839</v>
      </c>
      <c r="B78" t="s">
        <v>32</v>
      </c>
      <c r="C78" t="s">
        <v>44</v>
      </c>
      <c r="D78" t="s">
        <v>44</v>
      </c>
      <c r="E78" t="s">
        <v>32</v>
      </c>
      <c r="F78" t="s">
        <v>34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0.7</v>
      </c>
      <c r="S78">
        <v>0.21</v>
      </c>
      <c r="T78">
        <v>0.03</v>
      </c>
      <c r="U78">
        <v>0</v>
      </c>
      <c r="V78">
        <v>0</v>
      </c>
      <c r="W78">
        <v>0</v>
      </c>
      <c r="X78">
        <v>0</v>
      </c>
      <c r="Y78" t="s">
        <v>125</v>
      </c>
      <c r="Z78">
        <v>0</v>
      </c>
      <c r="AA78" t="s">
        <v>125</v>
      </c>
      <c r="AB78" t="s">
        <v>125</v>
      </c>
      <c r="AC78">
        <v>0</v>
      </c>
      <c r="AD78" t="s">
        <v>125</v>
      </c>
      <c r="AE78" t="s">
        <v>125</v>
      </c>
      <c r="AF78">
        <v>31</v>
      </c>
      <c r="AG78">
        <v>23</v>
      </c>
      <c r="AH78">
        <v>8</v>
      </c>
      <c r="AI78">
        <v>1</v>
      </c>
      <c r="AJ78">
        <v>22</v>
      </c>
      <c r="AK78">
        <v>7.5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</row>
    <row r="79" spans="1:43" hidden="1" x14ac:dyDescent="0.25">
      <c r="A79" s="1">
        <v>45870</v>
      </c>
      <c r="B79" t="s">
        <v>32</v>
      </c>
      <c r="C79" t="s">
        <v>33</v>
      </c>
      <c r="D79" t="s">
        <v>33</v>
      </c>
      <c r="E79" t="s">
        <v>32</v>
      </c>
      <c r="F79" t="s">
        <v>34</v>
      </c>
      <c r="G79">
        <v>0</v>
      </c>
      <c r="H79">
        <v>41</v>
      </c>
      <c r="I79">
        <v>31</v>
      </c>
      <c r="J79">
        <v>0</v>
      </c>
      <c r="K79">
        <v>31</v>
      </c>
      <c r="L79">
        <v>359.24</v>
      </c>
      <c r="M79">
        <v>34</v>
      </c>
      <c r="N79">
        <v>29</v>
      </c>
      <c r="O79">
        <v>0.85289999999999999</v>
      </c>
      <c r="P79">
        <v>1</v>
      </c>
      <c r="Q79">
        <v>0</v>
      </c>
      <c r="R79">
        <v>0.7</v>
      </c>
      <c r="S79">
        <v>0.21</v>
      </c>
      <c r="T79">
        <v>0.03</v>
      </c>
      <c r="U79">
        <v>479.07</v>
      </c>
      <c r="V79">
        <v>0</v>
      </c>
      <c r="W79">
        <v>0</v>
      </c>
      <c r="X79">
        <v>0</v>
      </c>
      <c r="Y79">
        <v>359.24</v>
      </c>
      <c r="Z79">
        <v>4.09</v>
      </c>
      <c r="AA79">
        <v>0</v>
      </c>
      <c r="AB79">
        <v>4.09</v>
      </c>
      <c r="AC79">
        <v>3.09</v>
      </c>
      <c r="AD79">
        <v>0</v>
      </c>
      <c r="AE79">
        <v>3.09</v>
      </c>
      <c r="AF79">
        <v>31</v>
      </c>
      <c r="AG79">
        <v>21</v>
      </c>
      <c r="AH79">
        <v>10</v>
      </c>
      <c r="AI79">
        <v>0</v>
      </c>
      <c r="AJ79">
        <v>21</v>
      </c>
      <c r="AK79">
        <v>7.5</v>
      </c>
      <c r="AL79">
        <v>0.05</v>
      </c>
      <c r="AM79">
        <v>0</v>
      </c>
      <c r="AN79">
        <v>0.05</v>
      </c>
      <c r="AO79">
        <v>0.04</v>
      </c>
      <c r="AP79">
        <v>0</v>
      </c>
      <c r="AQ79">
        <v>0.04</v>
      </c>
    </row>
    <row r="80" spans="1:43" hidden="1" x14ac:dyDescent="0.25">
      <c r="A80" s="1">
        <v>45870</v>
      </c>
      <c r="B80" t="s">
        <v>32</v>
      </c>
      <c r="C80" t="s">
        <v>32</v>
      </c>
      <c r="D80" t="s">
        <v>32</v>
      </c>
      <c r="E80" t="s">
        <v>32</v>
      </c>
      <c r="F80" t="s">
        <v>35</v>
      </c>
      <c r="G80">
        <v>0</v>
      </c>
      <c r="H80">
        <v>273</v>
      </c>
      <c r="I80">
        <v>335</v>
      </c>
      <c r="J80">
        <v>0</v>
      </c>
      <c r="K80">
        <v>335</v>
      </c>
      <c r="L80">
        <v>1288.17</v>
      </c>
      <c r="M80">
        <v>232</v>
      </c>
      <c r="N80">
        <v>172</v>
      </c>
      <c r="O80">
        <v>0.74139999999999995</v>
      </c>
      <c r="P80">
        <v>1</v>
      </c>
      <c r="Q80">
        <v>0</v>
      </c>
      <c r="R80">
        <v>0.7</v>
      </c>
      <c r="S80">
        <v>0.21</v>
      </c>
      <c r="T80">
        <v>0.03</v>
      </c>
      <c r="U80">
        <v>1199.82</v>
      </c>
      <c r="V80">
        <v>0</v>
      </c>
      <c r="W80">
        <v>0</v>
      </c>
      <c r="X80">
        <v>0</v>
      </c>
      <c r="Y80">
        <v>1288.17</v>
      </c>
      <c r="Z80">
        <v>97.69</v>
      </c>
      <c r="AA80">
        <v>0</v>
      </c>
      <c r="AB80">
        <v>97.69</v>
      </c>
      <c r="AC80">
        <v>119.87</v>
      </c>
      <c r="AD80">
        <v>0</v>
      </c>
      <c r="AE80">
        <v>119.87</v>
      </c>
      <c r="AF80">
        <v>31</v>
      </c>
      <c r="AG80">
        <v>21</v>
      </c>
      <c r="AH80">
        <v>10</v>
      </c>
      <c r="AI80">
        <v>0</v>
      </c>
      <c r="AJ80">
        <v>21</v>
      </c>
      <c r="AK80">
        <v>7.5</v>
      </c>
      <c r="AL80">
        <v>1.1599999999999999</v>
      </c>
      <c r="AM80">
        <v>0</v>
      </c>
      <c r="AN80">
        <v>1.1599999999999999</v>
      </c>
      <c r="AO80">
        <v>1.42</v>
      </c>
      <c r="AP80">
        <v>0</v>
      </c>
      <c r="AQ80">
        <v>1.42</v>
      </c>
    </row>
    <row r="81" spans="1:43" hidden="1" x14ac:dyDescent="0.25">
      <c r="A81" s="1">
        <v>45870</v>
      </c>
      <c r="B81" t="s">
        <v>32</v>
      </c>
      <c r="C81" t="s">
        <v>36</v>
      </c>
      <c r="D81" t="s">
        <v>36</v>
      </c>
      <c r="E81" t="s">
        <v>32</v>
      </c>
      <c r="F81" t="s">
        <v>34</v>
      </c>
      <c r="G81">
        <v>0</v>
      </c>
      <c r="H81">
        <v>8</v>
      </c>
      <c r="I81">
        <v>4</v>
      </c>
      <c r="J81">
        <v>0</v>
      </c>
      <c r="K81">
        <v>4</v>
      </c>
      <c r="L81">
        <v>463.57</v>
      </c>
      <c r="M81">
        <v>7</v>
      </c>
      <c r="N81">
        <v>6</v>
      </c>
      <c r="O81">
        <v>0.85709999999999997</v>
      </c>
      <c r="P81">
        <v>1</v>
      </c>
      <c r="Q81">
        <v>0</v>
      </c>
      <c r="R81">
        <v>0.7</v>
      </c>
      <c r="S81">
        <v>0.21</v>
      </c>
      <c r="T81">
        <v>0.03</v>
      </c>
      <c r="U81">
        <v>505.35</v>
      </c>
      <c r="V81">
        <v>0</v>
      </c>
      <c r="W81">
        <v>0</v>
      </c>
      <c r="X81">
        <v>0</v>
      </c>
      <c r="Y81">
        <v>463.57</v>
      </c>
      <c r="Z81">
        <v>1.03</v>
      </c>
      <c r="AA81">
        <v>0</v>
      </c>
      <c r="AB81">
        <v>1.03</v>
      </c>
      <c r="AC81">
        <v>0.52</v>
      </c>
      <c r="AD81">
        <v>0</v>
      </c>
      <c r="AE81">
        <v>0.52</v>
      </c>
      <c r="AF81">
        <v>31</v>
      </c>
      <c r="AG81">
        <v>21</v>
      </c>
      <c r="AH81">
        <v>10</v>
      </c>
      <c r="AI81">
        <v>0</v>
      </c>
      <c r="AJ81">
        <v>21</v>
      </c>
      <c r="AK81">
        <v>7.5</v>
      </c>
      <c r="AL81">
        <v>0.01</v>
      </c>
      <c r="AM81">
        <v>0</v>
      </c>
      <c r="AN81">
        <v>0.01</v>
      </c>
      <c r="AO81">
        <v>0.01</v>
      </c>
      <c r="AP81">
        <v>0</v>
      </c>
      <c r="AQ81">
        <v>0.01</v>
      </c>
    </row>
    <row r="82" spans="1:43" hidden="1" x14ac:dyDescent="0.25">
      <c r="A82" s="1">
        <v>45870</v>
      </c>
      <c r="B82" t="s">
        <v>32</v>
      </c>
      <c r="C82" t="s">
        <v>37</v>
      </c>
      <c r="D82" t="s">
        <v>37</v>
      </c>
      <c r="E82" t="s">
        <v>32</v>
      </c>
      <c r="F82" t="s">
        <v>34</v>
      </c>
      <c r="G82">
        <v>0</v>
      </c>
      <c r="H82">
        <v>2</v>
      </c>
      <c r="I82">
        <v>1</v>
      </c>
      <c r="J82">
        <v>0</v>
      </c>
      <c r="K82">
        <v>1</v>
      </c>
      <c r="L82">
        <v>293.5</v>
      </c>
      <c r="M82">
        <v>2</v>
      </c>
      <c r="N82">
        <v>1</v>
      </c>
      <c r="O82">
        <v>0.5</v>
      </c>
      <c r="P82">
        <v>1</v>
      </c>
      <c r="Q82">
        <v>0</v>
      </c>
      <c r="R82">
        <v>0.7</v>
      </c>
      <c r="S82">
        <v>0.21</v>
      </c>
      <c r="T82">
        <v>0.03</v>
      </c>
      <c r="U82">
        <v>480.4</v>
      </c>
      <c r="V82">
        <v>0</v>
      </c>
      <c r="W82">
        <v>0</v>
      </c>
      <c r="X82">
        <v>0</v>
      </c>
      <c r="Y82">
        <v>293.5</v>
      </c>
      <c r="Z82">
        <v>0.16</v>
      </c>
      <c r="AA82">
        <v>0</v>
      </c>
      <c r="AB82">
        <v>0.16</v>
      </c>
      <c r="AC82">
        <v>0.08</v>
      </c>
      <c r="AD82">
        <v>0</v>
      </c>
      <c r="AE82">
        <v>0.08</v>
      </c>
      <c r="AF82">
        <v>31</v>
      </c>
      <c r="AG82">
        <v>21</v>
      </c>
      <c r="AH82">
        <v>10</v>
      </c>
      <c r="AI82">
        <v>0</v>
      </c>
      <c r="AJ82">
        <v>21</v>
      </c>
      <c r="AK82">
        <v>7.5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</row>
    <row r="83" spans="1:43" hidden="1" x14ac:dyDescent="0.25">
      <c r="A83" s="1">
        <v>45870</v>
      </c>
      <c r="B83" t="s">
        <v>32</v>
      </c>
      <c r="C83" t="s">
        <v>38</v>
      </c>
      <c r="D83" t="s">
        <v>38</v>
      </c>
      <c r="E83" t="s">
        <v>32</v>
      </c>
      <c r="F83" t="s">
        <v>34</v>
      </c>
      <c r="G83">
        <v>0</v>
      </c>
      <c r="H83">
        <v>4642</v>
      </c>
      <c r="I83">
        <v>5235</v>
      </c>
      <c r="J83">
        <v>0</v>
      </c>
      <c r="K83">
        <v>5235</v>
      </c>
      <c r="L83">
        <v>642.4</v>
      </c>
      <c r="M83">
        <v>4495</v>
      </c>
      <c r="N83">
        <v>4021</v>
      </c>
      <c r="O83">
        <v>0.89449999999999996</v>
      </c>
      <c r="P83">
        <v>0.50970000000000004</v>
      </c>
      <c r="Q83">
        <v>0.49030000000000001</v>
      </c>
      <c r="R83">
        <v>0.7</v>
      </c>
      <c r="S83">
        <v>0.21</v>
      </c>
      <c r="T83">
        <v>0.03</v>
      </c>
      <c r="U83">
        <v>597.53</v>
      </c>
      <c r="V83">
        <v>0.7</v>
      </c>
      <c r="W83">
        <v>0.21</v>
      </c>
      <c r="X83">
        <v>0.03</v>
      </c>
      <c r="Y83">
        <v>642.4</v>
      </c>
      <c r="Z83">
        <v>422.2</v>
      </c>
      <c r="AA83">
        <v>406.13</v>
      </c>
      <c r="AB83">
        <v>828.34</v>
      </c>
      <c r="AC83">
        <v>476.14</v>
      </c>
      <c r="AD83">
        <v>458.02</v>
      </c>
      <c r="AE83">
        <v>934.16</v>
      </c>
      <c r="AF83">
        <v>31</v>
      </c>
      <c r="AG83">
        <v>21</v>
      </c>
      <c r="AH83">
        <v>10</v>
      </c>
      <c r="AI83">
        <v>0</v>
      </c>
      <c r="AJ83">
        <v>21</v>
      </c>
      <c r="AK83">
        <v>7.5</v>
      </c>
      <c r="AL83">
        <v>4.99</v>
      </c>
      <c r="AM83">
        <v>4.8</v>
      </c>
      <c r="AN83">
        <v>9.7899999999999991</v>
      </c>
      <c r="AO83">
        <v>5.63</v>
      </c>
      <c r="AP83">
        <v>5.42</v>
      </c>
      <c r="AQ83">
        <v>11.05</v>
      </c>
    </row>
    <row r="84" spans="1:43" hidden="1" x14ac:dyDescent="0.25">
      <c r="A84" s="1">
        <v>45870</v>
      </c>
      <c r="B84" t="s">
        <v>32</v>
      </c>
      <c r="C84" t="s">
        <v>39</v>
      </c>
      <c r="D84" t="s">
        <v>39</v>
      </c>
      <c r="E84" t="s">
        <v>32</v>
      </c>
      <c r="F84" t="s">
        <v>34</v>
      </c>
      <c r="G84">
        <v>0</v>
      </c>
      <c r="H84">
        <v>380</v>
      </c>
      <c r="I84">
        <v>119</v>
      </c>
      <c r="J84">
        <v>0</v>
      </c>
      <c r="K84">
        <v>119</v>
      </c>
      <c r="L84">
        <v>567.71</v>
      </c>
      <c r="M84">
        <v>380</v>
      </c>
      <c r="N84">
        <v>294</v>
      </c>
      <c r="O84">
        <v>0.77370000000000005</v>
      </c>
      <c r="P84">
        <v>1</v>
      </c>
      <c r="Q84">
        <v>0</v>
      </c>
      <c r="R84">
        <v>0.7</v>
      </c>
      <c r="S84">
        <v>0.21</v>
      </c>
      <c r="T84">
        <v>0.03</v>
      </c>
      <c r="U84">
        <v>582.46</v>
      </c>
      <c r="V84">
        <v>0</v>
      </c>
      <c r="W84">
        <v>0</v>
      </c>
      <c r="X84">
        <v>0</v>
      </c>
      <c r="Y84">
        <v>567.71</v>
      </c>
      <c r="Z84">
        <v>59.92</v>
      </c>
      <c r="AA84">
        <v>0</v>
      </c>
      <c r="AB84">
        <v>59.92</v>
      </c>
      <c r="AC84">
        <v>18.77</v>
      </c>
      <c r="AD84">
        <v>0</v>
      </c>
      <c r="AE84">
        <v>18.77</v>
      </c>
      <c r="AF84">
        <v>31</v>
      </c>
      <c r="AG84">
        <v>21</v>
      </c>
      <c r="AH84">
        <v>10</v>
      </c>
      <c r="AI84">
        <v>0</v>
      </c>
      <c r="AJ84">
        <v>21</v>
      </c>
      <c r="AK84">
        <v>7.5</v>
      </c>
      <c r="AL84">
        <v>0.71</v>
      </c>
      <c r="AM84">
        <v>0</v>
      </c>
      <c r="AN84">
        <v>0.71</v>
      </c>
      <c r="AO84">
        <v>0.22</v>
      </c>
      <c r="AP84">
        <v>0</v>
      </c>
      <c r="AQ84">
        <v>0.22</v>
      </c>
    </row>
    <row r="85" spans="1:43" hidden="1" x14ac:dyDescent="0.25">
      <c r="A85" s="1">
        <v>45870</v>
      </c>
      <c r="B85" t="s">
        <v>32</v>
      </c>
      <c r="C85" t="s">
        <v>40</v>
      </c>
      <c r="D85" t="s">
        <v>40</v>
      </c>
      <c r="E85" t="s">
        <v>32</v>
      </c>
      <c r="F85" t="s">
        <v>34</v>
      </c>
      <c r="G85">
        <v>0</v>
      </c>
      <c r="H85">
        <v>46</v>
      </c>
      <c r="I85">
        <v>37</v>
      </c>
      <c r="J85">
        <v>0</v>
      </c>
      <c r="K85">
        <v>37</v>
      </c>
      <c r="L85">
        <v>775.24</v>
      </c>
      <c r="M85">
        <v>45</v>
      </c>
      <c r="N85">
        <v>41</v>
      </c>
      <c r="O85">
        <v>0.91110000000000002</v>
      </c>
      <c r="P85">
        <v>6.9800000000000001E-2</v>
      </c>
      <c r="Q85">
        <v>0.93020000000000003</v>
      </c>
      <c r="R85">
        <v>0.7</v>
      </c>
      <c r="S85">
        <v>0.21</v>
      </c>
      <c r="T85">
        <v>0.03</v>
      </c>
      <c r="U85">
        <v>760.96</v>
      </c>
      <c r="V85">
        <v>0.7</v>
      </c>
      <c r="W85">
        <v>0.21</v>
      </c>
      <c r="X85">
        <v>0.03</v>
      </c>
      <c r="Y85">
        <v>775.24</v>
      </c>
      <c r="Z85">
        <v>0.69</v>
      </c>
      <c r="AA85">
        <v>9.2100000000000009</v>
      </c>
      <c r="AB85">
        <v>9.91</v>
      </c>
      <c r="AC85">
        <v>0.56000000000000005</v>
      </c>
      <c r="AD85">
        <v>7.41</v>
      </c>
      <c r="AE85">
        <v>7.97</v>
      </c>
      <c r="AF85">
        <v>31</v>
      </c>
      <c r="AG85">
        <v>21</v>
      </c>
      <c r="AH85">
        <v>10</v>
      </c>
      <c r="AI85">
        <v>0</v>
      </c>
      <c r="AJ85">
        <v>21</v>
      </c>
      <c r="AK85">
        <v>7.5</v>
      </c>
      <c r="AL85">
        <v>0.01</v>
      </c>
      <c r="AM85">
        <v>0.11</v>
      </c>
      <c r="AN85">
        <v>0.12</v>
      </c>
      <c r="AO85">
        <v>0.01</v>
      </c>
      <c r="AP85">
        <v>0.09</v>
      </c>
      <c r="AQ85">
        <v>9.9999999999999895E-2</v>
      </c>
    </row>
    <row r="86" spans="1:43" hidden="1" x14ac:dyDescent="0.25">
      <c r="A86" s="1">
        <v>45870</v>
      </c>
      <c r="B86" t="s">
        <v>32</v>
      </c>
      <c r="C86" t="s">
        <v>41</v>
      </c>
      <c r="D86" t="s">
        <v>41</v>
      </c>
      <c r="E86" t="s">
        <v>32</v>
      </c>
      <c r="F86" t="s">
        <v>34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1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t="s">
        <v>125</v>
      </c>
      <c r="Z86">
        <v>0</v>
      </c>
      <c r="AA86" t="s">
        <v>125</v>
      </c>
      <c r="AB86" t="s">
        <v>125</v>
      </c>
      <c r="AC86">
        <v>0</v>
      </c>
      <c r="AD86" t="s">
        <v>125</v>
      </c>
      <c r="AE86" t="s">
        <v>125</v>
      </c>
      <c r="AF86">
        <v>31</v>
      </c>
      <c r="AG86">
        <v>21</v>
      </c>
      <c r="AH86">
        <v>10</v>
      </c>
      <c r="AI86">
        <v>0</v>
      </c>
      <c r="AJ86">
        <v>21</v>
      </c>
      <c r="AK86">
        <v>7.5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</row>
    <row r="87" spans="1:43" hidden="1" x14ac:dyDescent="0.25">
      <c r="A87" s="1">
        <v>45870</v>
      </c>
      <c r="B87" t="s">
        <v>32</v>
      </c>
      <c r="C87" t="s">
        <v>42</v>
      </c>
      <c r="D87" t="s">
        <v>42</v>
      </c>
      <c r="E87" t="s">
        <v>32</v>
      </c>
      <c r="F87" t="s">
        <v>34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t="s">
        <v>125</v>
      </c>
      <c r="Z87">
        <v>0</v>
      </c>
      <c r="AA87" t="s">
        <v>125</v>
      </c>
      <c r="AB87" t="s">
        <v>125</v>
      </c>
      <c r="AC87">
        <v>0</v>
      </c>
      <c r="AD87" t="s">
        <v>125</v>
      </c>
      <c r="AE87" t="s">
        <v>125</v>
      </c>
      <c r="AF87">
        <v>31</v>
      </c>
      <c r="AG87">
        <v>21</v>
      </c>
      <c r="AH87">
        <v>10</v>
      </c>
      <c r="AI87">
        <v>0</v>
      </c>
      <c r="AJ87">
        <v>21</v>
      </c>
      <c r="AK87">
        <v>7.5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</row>
    <row r="88" spans="1:43" hidden="1" x14ac:dyDescent="0.25">
      <c r="A88" s="1">
        <v>45870</v>
      </c>
      <c r="B88" t="s">
        <v>32</v>
      </c>
      <c r="C88" t="s">
        <v>43</v>
      </c>
      <c r="D88" t="s">
        <v>43</v>
      </c>
      <c r="E88" t="s">
        <v>32</v>
      </c>
      <c r="F88" t="s">
        <v>34</v>
      </c>
      <c r="G88">
        <v>0</v>
      </c>
      <c r="H88">
        <v>4</v>
      </c>
      <c r="I88">
        <v>1</v>
      </c>
      <c r="J88">
        <v>0</v>
      </c>
      <c r="K88">
        <v>1</v>
      </c>
      <c r="L88">
        <v>611.5</v>
      </c>
      <c r="M88">
        <v>4</v>
      </c>
      <c r="N88">
        <v>3</v>
      </c>
      <c r="O88">
        <v>0.75</v>
      </c>
      <c r="P88">
        <v>1</v>
      </c>
      <c r="Q88">
        <v>0</v>
      </c>
      <c r="R88">
        <v>0.7</v>
      </c>
      <c r="S88">
        <v>0.21</v>
      </c>
      <c r="T88">
        <v>0.03</v>
      </c>
      <c r="U88">
        <v>321.75</v>
      </c>
      <c r="V88">
        <v>0</v>
      </c>
      <c r="W88">
        <v>0</v>
      </c>
      <c r="X88">
        <v>0</v>
      </c>
      <c r="Y88">
        <v>611.5</v>
      </c>
      <c r="Z88">
        <v>0.68</v>
      </c>
      <c r="AA88">
        <v>0</v>
      </c>
      <c r="AB88">
        <v>0.68</v>
      </c>
      <c r="AC88">
        <v>0.17</v>
      </c>
      <c r="AD88">
        <v>0</v>
      </c>
      <c r="AE88">
        <v>0.17</v>
      </c>
      <c r="AF88">
        <v>31</v>
      </c>
      <c r="AG88">
        <v>21</v>
      </c>
      <c r="AH88">
        <v>10</v>
      </c>
      <c r="AI88">
        <v>0</v>
      </c>
      <c r="AJ88">
        <v>21</v>
      </c>
      <c r="AK88">
        <v>7.5</v>
      </c>
      <c r="AL88">
        <v>0.01</v>
      </c>
      <c r="AM88">
        <v>0</v>
      </c>
      <c r="AN88">
        <v>0.01</v>
      </c>
      <c r="AO88">
        <v>0</v>
      </c>
      <c r="AP88">
        <v>0</v>
      </c>
      <c r="AQ88">
        <v>0</v>
      </c>
    </row>
    <row r="89" spans="1:43" hidden="1" x14ac:dyDescent="0.25">
      <c r="A89" s="1">
        <v>45870</v>
      </c>
      <c r="B89" t="s">
        <v>32</v>
      </c>
      <c r="C89" t="s">
        <v>44</v>
      </c>
      <c r="D89" t="s">
        <v>44</v>
      </c>
      <c r="E89" t="s">
        <v>32</v>
      </c>
      <c r="F89" t="s">
        <v>34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0.7</v>
      </c>
      <c r="S89">
        <v>0.21</v>
      </c>
      <c r="T89">
        <v>0.03</v>
      </c>
      <c r="U89">
        <v>0</v>
      </c>
      <c r="V89">
        <v>0</v>
      </c>
      <c r="W89">
        <v>0</v>
      </c>
      <c r="X89">
        <v>0</v>
      </c>
      <c r="Y89" t="s">
        <v>125</v>
      </c>
      <c r="Z89">
        <v>0</v>
      </c>
      <c r="AA89" t="s">
        <v>125</v>
      </c>
      <c r="AB89" t="s">
        <v>125</v>
      </c>
      <c r="AC89">
        <v>0</v>
      </c>
      <c r="AD89" t="s">
        <v>125</v>
      </c>
      <c r="AE89" t="s">
        <v>125</v>
      </c>
      <c r="AF89">
        <v>31</v>
      </c>
      <c r="AG89">
        <v>21</v>
      </c>
      <c r="AH89">
        <v>10</v>
      </c>
      <c r="AI89">
        <v>0</v>
      </c>
      <c r="AJ89">
        <v>21</v>
      </c>
      <c r="AK89">
        <v>7.5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</row>
    <row r="90" spans="1:43" hidden="1" x14ac:dyDescent="0.25">
      <c r="A90" s="1">
        <v>45901</v>
      </c>
      <c r="B90" t="s">
        <v>32</v>
      </c>
      <c r="C90" t="s">
        <v>33</v>
      </c>
      <c r="D90" t="s">
        <v>33</v>
      </c>
      <c r="E90" t="s">
        <v>32</v>
      </c>
      <c r="F90" t="s">
        <v>34</v>
      </c>
      <c r="G90">
        <v>0</v>
      </c>
      <c r="H90">
        <v>24</v>
      </c>
      <c r="I90">
        <v>26</v>
      </c>
      <c r="J90">
        <v>0</v>
      </c>
      <c r="K90">
        <v>26</v>
      </c>
      <c r="L90">
        <v>375.83</v>
      </c>
      <c r="M90">
        <v>24</v>
      </c>
      <c r="N90">
        <v>23</v>
      </c>
      <c r="O90">
        <v>0.95830000000000004</v>
      </c>
      <c r="P90">
        <v>1</v>
      </c>
      <c r="Q90">
        <v>0</v>
      </c>
      <c r="R90">
        <v>0.7</v>
      </c>
      <c r="S90">
        <v>0.21</v>
      </c>
      <c r="T90">
        <v>0.03</v>
      </c>
      <c r="U90">
        <v>489.56</v>
      </c>
      <c r="V90">
        <v>0</v>
      </c>
      <c r="W90">
        <v>0</v>
      </c>
      <c r="X90">
        <v>0</v>
      </c>
      <c r="Y90">
        <v>375.83</v>
      </c>
      <c r="Z90">
        <v>2.5099999999999998</v>
      </c>
      <c r="AA90">
        <v>0</v>
      </c>
      <c r="AB90">
        <v>2.5099999999999998</v>
      </c>
      <c r="AC90">
        <v>2.71</v>
      </c>
      <c r="AD90">
        <v>0</v>
      </c>
      <c r="AE90">
        <v>2.71</v>
      </c>
      <c r="AF90">
        <v>30</v>
      </c>
      <c r="AG90">
        <v>22</v>
      </c>
      <c r="AH90">
        <v>8</v>
      </c>
      <c r="AI90">
        <v>1</v>
      </c>
      <c r="AJ90">
        <v>21</v>
      </c>
      <c r="AK90">
        <v>7.5</v>
      </c>
      <c r="AL90">
        <v>0.03</v>
      </c>
      <c r="AM90">
        <v>0</v>
      </c>
      <c r="AN90">
        <v>0.03</v>
      </c>
      <c r="AO90">
        <v>0.03</v>
      </c>
      <c r="AP90">
        <v>0</v>
      </c>
      <c r="AQ90">
        <v>0.03</v>
      </c>
    </row>
    <row r="91" spans="1:43" hidden="1" x14ac:dyDescent="0.25">
      <c r="A91" s="1">
        <v>45901</v>
      </c>
      <c r="B91" t="s">
        <v>32</v>
      </c>
      <c r="C91" t="s">
        <v>32</v>
      </c>
      <c r="D91" t="s">
        <v>32</v>
      </c>
      <c r="E91" t="s">
        <v>32</v>
      </c>
      <c r="F91" t="s">
        <v>35</v>
      </c>
      <c r="G91">
        <v>0</v>
      </c>
      <c r="H91">
        <v>400</v>
      </c>
      <c r="I91">
        <v>335</v>
      </c>
      <c r="J91">
        <v>0</v>
      </c>
      <c r="K91">
        <v>335</v>
      </c>
      <c r="L91">
        <v>1206.51</v>
      </c>
      <c r="M91">
        <v>331</v>
      </c>
      <c r="N91">
        <v>280</v>
      </c>
      <c r="O91">
        <v>0.84589999999999999</v>
      </c>
      <c r="P91">
        <v>1</v>
      </c>
      <c r="Q91">
        <v>0</v>
      </c>
      <c r="R91">
        <v>0.7</v>
      </c>
      <c r="S91">
        <v>0.21</v>
      </c>
      <c r="T91">
        <v>0.03</v>
      </c>
      <c r="U91">
        <v>1211.3699999999999</v>
      </c>
      <c r="V91">
        <v>0</v>
      </c>
      <c r="W91">
        <v>0</v>
      </c>
      <c r="X91">
        <v>0</v>
      </c>
      <c r="Y91">
        <v>1206.51</v>
      </c>
      <c r="Z91">
        <v>134.06</v>
      </c>
      <c r="AA91">
        <v>0</v>
      </c>
      <c r="AB91">
        <v>134.06</v>
      </c>
      <c r="AC91">
        <v>112.27</v>
      </c>
      <c r="AD91">
        <v>0</v>
      </c>
      <c r="AE91">
        <v>112.27</v>
      </c>
      <c r="AF91">
        <v>30</v>
      </c>
      <c r="AG91">
        <v>22</v>
      </c>
      <c r="AH91">
        <v>8</v>
      </c>
      <c r="AI91">
        <v>1</v>
      </c>
      <c r="AJ91">
        <v>21</v>
      </c>
      <c r="AK91">
        <v>7.5</v>
      </c>
      <c r="AL91">
        <v>1.59</v>
      </c>
      <c r="AM91">
        <v>0</v>
      </c>
      <c r="AN91">
        <v>1.59</v>
      </c>
      <c r="AO91">
        <v>1.33</v>
      </c>
      <c r="AP91">
        <v>0</v>
      </c>
      <c r="AQ91">
        <v>1.33</v>
      </c>
    </row>
    <row r="92" spans="1:43" hidden="1" x14ac:dyDescent="0.25">
      <c r="A92" s="1">
        <v>45901</v>
      </c>
      <c r="B92" t="s">
        <v>32</v>
      </c>
      <c r="C92" t="s">
        <v>36</v>
      </c>
      <c r="D92" t="s">
        <v>36</v>
      </c>
      <c r="E92" t="s">
        <v>32</v>
      </c>
      <c r="F92" t="s">
        <v>34</v>
      </c>
      <c r="G92">
        <v>0</v>
      </c>
      <c r="H92">
        <v>6</v>
      </c>
      <c r="I92">
        <v>4</v>
      </c>
      <c r="J92">
        <v>0</v>
      </c>
      <c r="K92">
        <v>4</v>
      </c>
      <c r="L92">
        <v>493.83</v>
      </c>
      <c r="M92">
        <v>6</v>
      </c>
      <c r="N92">
        <v>6</v>
      </c>
      <c r="O92">
        <v>1</v>
      </c>
      <c r="P92">
        <v>1</v>
      </c>
      <c r="Q92">
        <v>0</v>
      </c>
      <c r="R92">
        <v>0.7</v>
      </c>
      <c r="S92">
        <v>0.21</v>
      </c>
      <c r="T92">
        <v>0.03</v>
      </c>
      <c r="U92">
        <v>445.54</v>
      </c>
      <c r="V92">
        <v>0</v>
      </c>
      <c r="W92">
        <v>0</v>
      </c>
      <c r="X92">
        <v>0</v>
      </c>
      <c r="Y92">
        <v>493.83</v>
      </c>
      <c r="Z92">
        <v>0.82</v>
      </c>
      <c r="AA92">
        <v>0</v>
      </c>
      <c r="AB92">
        <v>0.82</v>
      </c>
      <c r="AC92">
        <v>0.55000000000000004</v>
      </c>
      <c r="AD92">
        <v>0</v>
      </c>
      <c r="AE92">
        <v>0.55000000000000004</v>
      </c>
      <c r="AF92">
        <v>30</v>
      </c>
      <c r="AG92">
        <v>22</v>
      </c>
      <c r="AH92">
        <v>8</v>
      </c>
      <c r="AI92">
        <v>1</v>
      </c>
      <c r="AJ92">
        <v>21</v>
      </c>
      <c r="AK92">
        <v>7.5</v>
      </c>
      <c r="AL92">
        <v>0.01</v>
      </c>
      <c r="AM92">
        <v>0</v>
      </c>
      <c r="AN92">
        <v>0.01</v>
      </c>
      <c r="AO92">
        <v>0.01</v>
      </c>
      <c r="AP92">
        <v>0</v>
      </c>
      <c r="AQ92">
        <v>0.01</v>
      </c>
    </row>
    <row r="93" spans="1:43" hidden="1" x14ac:dyDescent="0.25">
      <c r="A93" s="1">
        <v>45901</v>
      </c>
      <c r="B93" t="s">
        <v>32</v>
      </c>
      <c r="C93" t="s">
        <v>37</v>
      </c>
      <c r="D93" t="s">
        <v>37</v>
      </c>
      <c r="E93" t="s">
        <v>32</v>
      </c>
      <c r="F93" t="s">
        <v>34</v>
      </c>
      <c r="G93">
        <v>0</v>
      </c>
      <c r="H93">
        <v>0</v>
      </c>
      <c r="I93">
        <v>1</v>
      </c>
      <c r="J93">
        <v>0</v>
      </c>
      <c r="K93">
        <v>1</v>
      </c>
      <c r="L93">
        <v>0</v>
      </c>
      <c r="M93">
        <v>0</v>
      </c>
      <c r="N93">
        <v>0</v>
      </c>
      <c r="O93">
        <v>0</v>
      </c>
      <c r="P93">
        <v>1</v>
      </c>
      <c r="Q93">
        <v>0</v>
      </c>
      <c r="R93">
        <v>0.7</v>
      </c>
      <c r="S93">
        <v>0.21</v>
      </c>
      <c r="T93">
        <v>0.03</v>
      </c>
      <c r="U93">
        <v>440.25</v>
      </c>
      <c r="V93">
        <v>0</v>
      </c>
      <c r="W93">
        <v>0</v>
      </c>
      <c r="X93">
        <v>0</v>
      </c>
      <c r="Y93" t="s">
        <v>125</v>
      </c>
      <c r="Z93">
        <v>0</v>
      </c>
      <c r="AA93" t="s">
        <v>125</v>
      </c>
      <c r="AB93" t="s">
        <v>125</v>
      </c>
      <c r="AC93">
        <v>0</v>
      </c>
      <c r="AD93" t="s">
        <v>125</v>
      </c>
      <c r="AE93" t="s">
        <v>125</v>
      </c>
      <c r="AF93">
        <v>30</v>
      </c>
      <c r="AG93">
        <v>22</v>
      </c>
      <c r="AH93">
        <v>8</v>
      </c>
      <c r="AI93">
        <v>1</v>
      </c>
      <c r="AJ93">
        <v>21</v>
      </c>
      <c r="AK93">
        <v>7.5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</row>
    <row r="94" spans="1:43" hidden="1" x14ac:dyDescent="0.25">
      <c r="A94" s="1">
        <v>45901</v>
      </c>
      <c r="B94" t="s">
        <v>32</v>
      </c>
      <c r="C94" t="s">
        <v>38</v>
      </c>
      <c r="D94" t="s">
        <v>38</v>
      </c>
      <c r="E94" t="s">
        <v>32</v>
      </c>
      <c r="F94" t="s">
        <v>34</v>
      </c>
      <c r="G94">
        <v>0</v>
      </c>
      <c r="H94">
        <v>4527</v>
      </c>
      <c r="I94">
        <v>5235</v>
      </c>
      <c r="J94">
        <v>0</v>
      </c>
      <c r="K94">
        <v>5235</v>
      </c>
      <c r="L94">
        <v>619.44000000000005</v>
      </c>
      <c r="M94">
        <v>4424</v>
      </c>
      <c r="N94">
        <v>4104</v>
      </c>
      <c r="O94">
        <v>0.92769999999999997</v>
      </c>
      <c r="P94">
        <v>0.53480000000000005</v>
      </c>
      <c r="Q94">
        <v>0.4652</v>
      </c>
      <c r="R94">
        <v>0.7</v>
      </c>
      <c r="S94">
        <v>0.21</v>
      </c>
      <c r="T94">
        <v>0.03</v>
      </c>
      <c r="U94">
        <v>621.67999999999995</v>
      </c>
      <c r="V94">
        <v>0.7</v>
      </c>
      <c r="W94">
        <v>0.21</v>
      </c>
      <c r="X94">
        <v>0.03</v>
      </c>
      <c r="Y94">
        <v>619.44000000000005</v>
      </c>
      <c r="Z94">
        <v>416.58</v>
      </c>
      <c r="AA94">
        <v>362.37</v>
      </c>
      <c r="AB94">
        <v>778.95</v>
      </c>
      <c r="AC94">
        <v>481.73</v>
      </c>
      <c r="AD94">
        <v>419.04</v>
      </c>
      <c r="AE94">
        <v>900.77</v>
      </c>
      <c r="AF94">
        <v>30</v>
      </c>
      <c r="AG94">
        <v>22</v>
      </c>
      <c r="AH94">
        <v>8</v>
      </c>
      <c r="AI94">
        <v>1</v>
      </c>
      <c r="AJ94">
        <v>21</v>
      </c>
      <c r="AK94">
        <v>7.5</v>
      </c>
      <c r="AL94">
        <v>4.93</v>
      </c>
      <c r="AM94">
        <v>4.29</v>
      </c>
      <c r="AN94">
        <v>9.21999999999999</v>
      </c>
      <c r="AO94">
        <v>5.7</v>
      </c>
      <c r="AP94">
        <v>4.96</v>
      </c>
      <c r="AQ94">
        <v>10.66</v>
      </c>
    </row>
    <row r="95" spans="1:43" hidden="1" x14ac:dyDescent="0.25">
      <c r="A95" s="1">
        <v>45901</v>
      </c>
      <c r="B95" t="s">
        <v>32</v>
      </c>
      <c r="C95" t="s">
        <v>39</v>
      </c>
      <c r="D95" t="s">
        <v>39</v>
      </c>
      <c r="E95" t="s">
        <v>32</v>
      </c>
      <c r="F95" t="s">
        <v>34</v>
      </c>
      <c r="G95">
        <v>0</v>
      </c>
      <c r="H95">
        <v>147</v>
      </c>
      <c r="I95">
        <v>119</v>
      </c>
      <c r="J95">
        <v>0</v>
      </c>
      <c r="K95">
        <v>119</v>
      </c>
      <c r="L95">
        <v>585.02</v>
      </c>
      <c r="M95">
        <v>147</v>
      </c>
      <c r="N95">
        <v>120</v>
      </c>
      <c r="O95">
        <v>0.81630000000000003</v>
      </c>
      <c r="P95">
        <v>1</v>
      </c>
      <c r="Q95">
        <v>0</v>
      </c>
      <c r="R95">
        <v>0.7</v>
      </c>
      <c r="S95">
        <v>0.21</v>
      </c>
      <c r="T95">
        <v>0.03</v>
      </c>
      <c r="U95">
        <v>580</v>
      </c>
      <c r="V95">
        <v>0</v>
      </c>
      <c r="W95">
        <v>0</v>
      </c>
      <c r="X95">
        <v>0</v>
      </c>
      <c r="Y95">
        <v>585.02</v>
      </c>
      <c r="Z95">
        <v>23.89</v>
      </c>
      <c r="AA95">
        <v>0</v>
      </c>
      <c r="AB95">
        <v>23.89</v>
      </c>
      <c r="AC95">
        <v>19.34</v>
      </c>
      <c r="AD95">
        <v>0</v>
      </c>
      <c r="AE95">
        <v>19.34</v>
      </c>
      <c r="AF95">
        <v>30</v>
      </c>
      <c r="AG95">
        <v>22</v>
      </c>
      <c r="AH95">
        <v>8</v>
      </c>
      <c r="AI95">
        <v>1</v>
      </c>
      <c r="AJ95">
        <v>21</v>
      </c>
      <c r="AK95">
        <v>7.5</v>
      </c>
      <c r="AL95">
        <v>0.28000000000000003</v>
      </c>
      <c r="AM95">
        <v>0</v>
      </c>
      <c r="AN95">
        <v>0.28000000000000003</v>
      </c>
      <c r="AO95">
        <v>0.23</v>
      </c>
      <c r="AP95">
        <v>0</v>
      </c>
      <c r="AQ95">
        <v>0.23</v>
      </c>
    </row>
    <row r="96" spans="1:43" hidden="1" x14ac:dyDescent="0.25">
      <c r="A96" s="1">
        <v>45901</v>
      </c>
      <c r="B96" t="s">
        <v>32</v>
      </c>
      <c r="C96" t="s">
        <v>40</v>
      </c>
      <c r="D96" t="s">
        <v>40</v>
      </c>
      <c r="E96" t="s">
        <v>32</v>
      </c>
      <c r="F96" t="s">
        <v>34</v>
      </c>
      <c r="G96">
        <v>0</v>
      </c>
      <c r="H96">
        <v>42</v>
      </c>
      <c r="I96">
        <v>34</v>
      </c>
      <c r="J96">
        <v>0</v>
      </c>
      <c r="K96">
        <v>34</v>
      </c>
      <c r="L96">
        <v>741.8</v>
      </c>
      <c r="M96">
        <v>41</v>
      </c>
      <c r="N96">
        <v>37</v>
      </c>
      <c r="O96">
        <v>0.90239999999999998</v>
      </c>
      <c r="P96">
        <v>9.7600000000000006E-2</v>
      </c>
      <c r="Q96">
        <v>0.90239999999999998</v>
      </c>
      <c r="R96">
        <v>0.7</v>
      </c>
      <c r="S96">
        <v>0.21</v>
      </c>
      <c r="T96">
        <v>0.03</v>
      </c>
      <c r="U96">
        <v>791.04</v>
      </c>
      <c r="V96">
        <v>0.7</v>
      </c>
      <c r="W96">
        <v>0.21</v>
      </c>
      <c r="X96">
        <v>0.03</v>
      </c>
      <c r="Y96">
        <v>741.8</v>
      </c>
      <c r="Z96">
        <v>0.84</v>
      </c>
      <c r="AA96">
        <v>7.81</v>
      </c>
      <c r="AB96">
        <v>8.65</v>
      </c>
      <c r="AC96">
        <v>0.68</v>
      </c>
      <c r="AD96">
        <v>6.32</v>
      </c>
      <c r="AE96">
        <v>7.01</v>
      </c>
      <c r="AF96">
        <v>30</v>
      </c>
      <c r="AG96">
        <v>22</v>
      </c>
      <c r="AH96">
        <v>8</v>
      </c>
      <c r="AI96">
        <v>1</v>
      </c>
      <c r="AJ96">
        <v>21</v>
      </c>
      <c r="AK96">
        <v>7.5</v>
      </c>
      <c r="AL96">
        <v>0.01</v>
      </c>
      <c r="AM96">
        <v>0.09</v>
      </c>
      <c r="AN96">
        <v>9.9999999999999895E-2</v>
      </c>
      <c r="AO96">
        <v>0.01</v>
      </c>
      <c r="AP96">
        <v>7.0000000000000007E-2</v>
      </c>
      <c r="AQ96">
        <v>0.08</v>
      </c>
    </row>
    <row r="97" spans="1:43" hidden="1" x14ac:dyDescent="0.25">
      <c r="A97" s="1">
        <v>45901</v>
      </c>
      <c r="B97" t="s">
        <v>32</v>
      </c>
      <c r="C97" t="s">
        <v>41</v>
      </c>
      <c r="D97" t="s">
        <v>41</v>
      </c>
      <c r="E97" t="s">
        <v>32</v>
      </c>
      <c r="F97" t="s">
        <v>34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 t="s">
        <v>125</v>
      </c>
      <c r="Z97">
        <v>0</v>
      </c>
      <c r="AA97" t="s">
        <v>125</v>
      </c>
      <c r="AB97" t="s">
        <v>125</v>
      </c>
      <c r="AC97">
        <v>0</v>
      </c>
      <c r="AD97" t="s">
        <v>125</v>
      </c>
      <c r="AE97" t="s">
        <v>125</v>
      </c>
      <c r="AF97">
        <v>30</v>
      </c>
      <c r="AG97">
        <v>22</v>
      </c>
      <c r="AH97">
        <v>8</v>
      </c>
      <c r="AI97">
        <v>1</v>
      </c>
      <c r="AJ97">
        <v>21</v>
      </c>
      <c r="AK97">
        <v>7.5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</row>
    <row r="98" spans="1:43" hidden="1" x14ac:dyDescent="0.25">
      <c r="A98" s="1">
        <v>45901</v>
      </c>
      <c r="B98" t="s">
        <v>32</v>
      </c>
      <c r="C98" t="s">
        <v>42</v>
      </c>
      <c r="D98" t="s">
        <v>42</v>
      </c>
      <c r="E98" t="s">
        <v>32</v>
      </c>
      <c r="F98" t="s">
        <v>34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125</v>
      </c>
      <c r="Z98">
        <v>0</v>
      </c>
      <c r="AA98" t="s">
        <v>125</v>
      </c>
      <c r="AB98" t="s">
        <v>125</v>
      </c>
      <c r="AC98">
        <v>0</v>
      </c>
      <c r="AD98" t="s">
        <v>125</v>
      </c>
      <c r="AE98" t="s">
        <v>125</v>
      </c>
      <c r="AF98">
        <v>30</v>
      </c>
      <c r="AG98">
        <v>22</v>
      </c>
      <c r="AH98">
        <v>8</v>
      </c>
      <c r="AI98">
        <v>1</v>
      </c>
      <c r="AJ98">
        <v>21</v>
      </c>
      <c r="AK98">
        <v>7.5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</row>
    <row r="99" spans="1:43" hidden="1" x14ac:dyDescent="0.25">
      <c r="A99" s="1">
        <v>45901</v>
      </c>
      <c r="B99" t="s">
        <v>32</v>
      </c>
      <c r="C99" t="s">
        <v>43</v>
      </c>
      <c r="D99" t="s">
        <v>43</v>
      </c>
      <c r="E99" t="s">
        <v>32</v>
      </c>
      <c r="F99" t="s">
        <v>34</v>
      </c>
      <c r="G99">
        <v>0</v>
      </c>
      <c r="H99">
        <v>2</v>
      </c>
      <c r="I99">
        <v>1</v>
      </c>
      <c r="J99">
        <v>0</v>
      </c>
      <c r="K99">
        <v>1</v>
      </c>
      <c r="L99">
        <v>443</v>
      </c>
      <c r="M99">
        <v>2</v>
      </c>
      <c r="N99">
        <v>2</v>
      </c>
      <c r="O99">
        <v>1</v>
      </c>
      <c r="P99">
        <v>1</v>
      </c>
      <c r="Q99">
        <v>0</v>
      </c>
      <c r="R99">
        <v>0.7</v>
      </c>
      <c r="S99">
        <v>0.21</v>
      </c>
      <c r="T99">
        <v>0.03</v>
      </c>
      <c r="U99">
        <v>418.33</v>
      </c>
      <c r="V99">
        <v>0</v>
      </c>
      <c r="W99">
        <v>0</v>
      </c>
      <c r="X99">
        <v>0</v>
      </c>
      <c r="Y99">
        <v>443</v>
      </c>
      <c r="Z99">
        <v>0.25</v>
      </c>
      <c r="AA99">
        <v>0</v>
      </c>
      <c r="AB99">
        <v>0.25</v>
      </c>
      <c r="AC99">
        <v>0.12</v>
      </c>
      <c r="AD99">
        <v>0</v>
      </c>
      <c r="AE99">
        <v>0.12</v>
      </c>
      <c r="AF99">
        <v>30</v>
      </c>
      <c r="AG99">
        <v>22</v>
      </c>
      <c r="AH99">
        <v>8</v>
      </c>
      <c r="AI99">
        <v>1</v>
      </c>
      <c r="AJ99">
        <v>21</v>
      </c>
      <c r="AK99">
        <v>7.5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</row>
    <row r="100" spans="1:43" hidden="1" x14ac:dyDescent="0.25">
      <c r="A100" s="1">
        <v>45901</v>
      </c>
      <c r="B100" t="s">
        <v>32</v>
      </c>
      <c r="C100" t="s">
        <v>44</v>
      </c>
      <c r="D100" t="s">
        <v>44</v>
      </c>
      <c r="E100" t="s">
        <v>32</v>
      </c>
      <c r="F100" t="s">
        <v>34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0.7</v>
      </c>
      <c r="S100">
        <v>0.21</v>
      </c>
      <c r="T100">
        <v>0.03</v>
      </c>
      <c r="U100">
        <v>0</v>
      </c>
      <c r="V100">
        <v>0</v>
      </c>
      <c r="W100">
        <v>0</v>
      </c>
      <c r="X100">
        <v>0</v>
      </c>
      <c r="Y100" t="s">
        <v>125</v>
      </c>
      <c r="Z100">
        <v>0</v>
      </c>
      <c r="AA100" t="s">
        <v>125</v>
      </c>
      <c r="AB100" t="s">
        <v>125</v>
      </c>
      <c r="AC100">
        <v>0</v>
      </c>
      <c r="AD100" t="s">
        <v>125</v>
      </c>
      <c r="AE100" t="s">
        <v>125</v>
      </c>
      <c r="AF100">
        <v>30</v>
      </c>
      <c r="AG100">
        <v>22</v>
      </c>
      <c r="AH100">
        <v>8</v>
      </c>
      <c r="AI100">
        <v>1</v>
      </c>
      <c r="AJ100">
        <v>21</v>
      </c>
      <c r="AK100">
        <v>7.5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</row>
    <row r="101" spans="1:43" hidden="1" x14ac:dyDescent="0.25">
      <c r="A101" s="1">
        <v>45931</v>
      </c>
      <c r="B101" t="s">
        <v>32</v>
      </c>
      <c r="C101" t="s">
        <v>33</v>
      </c>
      <c r="D101" t="s">
        <v>33</v>
      </c>
      <c r="E101" t="s">
        <v>32</v>
      </c>
      <c r="F101" t="s">
        <v>34</v>
      </c>
      <c r="G101">
        <v>24</v>
      </c>
      <c r="H101">
        <v>27</v>
      </c>
      <c r="I101">
        <v>27</v>
      </c>
      <c r="J101">
        <v>0</v>
      </c>
      <c r="K101">
        <v>27</v>
      </c>
      <c r="L101">
        <v>327.81</v>
      </c>
      <c r="M101">
        <v>26</v>
      </c>
      <c r="N101">
        <v>26</v>
      </c>
      <c r="O101">
        <v>1</v>
      </c>
      <c r="P101">
        <v>1</v>
      </c>
      <c r="Q101">
        <v>0</v>
      </c>
      <c r="R101">
        <v>0.7</v>
      </c>
      <c r="S101">
        <v>0.21</v>
      </c>
      <c r="T101">
        <v>0.03</v>
      </c>
      <c r="U101">
        <v>491.32</v>
      </c>
      <c r="V101">
        <v>0</v>
      </c>
      <c r="W101">
        <v>0</v>
      </c>
      <c r="X101">
        <v>0</v>
      </c>
      <c r="Y101">
        <v>327.81</v>
      </c>
      <c r="Z101">
        <v>2.46</v>
      </c>
      <c r="AA101">
        <v>0</v>
      </c>
      <c r="AB101">
        <v>2.46</v>
      </c>
      <c r="AC101">
        <v>2.46</v>
      </c>
      <c r="AD101">
        <v>0</v>
      </c>
      <c r="AE101">
        <v>2.46</v>
      </c>
      <c r="AF101">
        <v>31</v>
      </c>
      <c r="AG101">
        <v>23</v>
      </c>
      <c r="AH101">
        <v>8</v>
      </c>
      <c r="AI101">
        <v>0</v>
      </c>
      <c r="AJ101">
        <v>23</v>
      </c>
      <c r="AK101">
        <v>7.5</v>
      </c>
      <c r="AL101">
        <v>0.03</v>
      </c>
      <c r="AM101">
        <v>0</v>
      </c>
      <c r="AN101">
        <v>0.03</v>
      </c>
      <c r="AO101">
        <v>0.03</v>
      </c>
      <c r="AP101">
        <v>0</v>
      </c>
      <c r="AQ101">
        <v>0.03</v>
      </c>
    </row>
    <row r="102" spans="1:43" hidden="1" x14ac:dyDescent="0.25">
      <c r="A102" s="1">
        <v>45931</v>
      </c>
      <c r="B102" t="s">
        <v>32</v>
      </c>
      <c r="C102" t="s">
        <v>32</v>
      </c>
      <c r="D102" t="s">
        <v>32</v>
      </c>
      <c r="E102" t="s">
        <v>32</v>
      </c>
      <c r="F102" t="s">
        <v>35</v>
      </c>
      <c r="G102">
        <v>279</v>
      </c>
      <c r="H102">
        <v>352</v>
      </c>
      <c r="I102">
        <v>366</v>
      </c>
      <c r="J102">
        <v>0</v>
      </c>
      <c r="K102">
        <v>366</v>
      </c>
      <c r="L102">
        <v>1258.95</v>
      </c>
      <c r="M102">
        <v>304</v>
      </c>
      <c r="N102">
        <v>237</v>
      </c>
      <c r="O102">
        <v>0.77959999999999996</v>
      </c>
      <c r="P102">
        <v>1</v>
      </c>
      <c r="Q102">
        <v>0</v>
      </c>
      <c r="R102">
        <v>0.7</v>
      </c>
      <c r="S102">
        <v>0.21</v>
      </c>
      <c r="T102">
        <v>0.03</v>
      </c>
      <c r="U102">
        <v>1213.3499999999999</v>
      </c>
      <c r="V102">
        <v>0</v>
      </c>
      <c r="W102">
        <v>0</v>
      </c>
      <c r="X102">
        <v>0</v>
      </c>
      <c r="Y102">
        <v>1258.95</v>
      </c>
      <c r="Z102">
        <v>123.1</v>
      </c>
      <c r="AA102">
        <v>0</v>
      </c>
      <c r="AB102">
        <v>123.1</v>
      </c>
      <c r="AC102">
        <v>127.99</v>
      </c>
      <c r="AD102">
        <v>0</v>
      </c>
      <c r="AE102">
        <v>127.99</v>
      </c>
      <c r="AF102">
        <v>31</v>
      </c>
      <c r="AG102">
        <v>23</v>
      </c>
      <c r="AH102">
        <v>8</v>
      </c>
      <c r="AI102">
        <v>0</v>
      </c>
      <c r="AJ102">
        <v>23</v>
      </c>
      <c r="AK102">
        <v>7.5</v>
      </c>
      <c r="AL102">
        <v>1.33</v>
      </c>
      <c r="AM102">
        <v>0</v>
      </c>
      <c r="AN102">
        <v>1.33</v>
      </c>
      <c r="AO102">
        <v>1.38</v>
      </c>
      <c r="AP102">
        <v>0</v>
      </c>
      <c r="AQ102">
        <v>1.38</v>
      </c>
    </row>
    <row r="103" spans="1:43" hidden="1" x14ac:dyDescent="0.25">
      <c r="A103" s="1">
        <v>45931</v>
      </c>
      <c r="B103" t="s">
        <v>32</v>
      </c>
      <c r="C103" t="s">
        <v>36</v>
      </c>
      <c r="D103" t="s">
        <v>36</v>
      </c>
      <c r="E103" t="s">
        <v>32</v>
      </c>
      <c r="F103" t="s">
        <v>34</v>
      </c>
      <c r="G103">
        <v>8</v>
      </c>
      <c r="H103">
        <v>7</v>
      </c>
      <c r="I103">
        <v>4</v>
      </c>
      <c r="J103">
        <v>0</v>
      </c>
      <c r="K103">
        <v>4</v>
      </c>
      <c r="L103">
        <v>541.33000000000004</v>
      </c>
      <c r="M103">
        <v>6</v>
      </c>
      <c r="N103">
        <v>5</v>
      </c>
      <c r="O103">
        <v>0.83330000000000004</v>
      </c>
      <c r="P103">
        <v>1</v>
      </c>
      <c r="Q103">
        <v>0</v>
      </c>
      <c r="R103">
        <v>0.7</v>
      </c>
      <c r="S103">
        <v>0.21</v>
      </c>
      <c r="T103">
        <v>0.03</v>
      </c>
      <c r="U103">
        <v>464.73</v>
      </c>
      <c r="V103">
        <v>0</v>
      </c>
      <c r="W103">
        <v>0</v>
      </c>
      <c r="X103">
        <v>0</v>
      </c>
      <c r="Y103">
        <v>541.33000000000004</v>
      </c>
      <c r="Z103">
        <v>1.05</v>
      </c>
      <c r="AA103">
        <v>0</v>
      </c>
      <c r="AB103">
        <v>1.05</v>
      </c>
      <c r="AC103">
        <v>0.6</v>
      </c>
      <c r="AD103">
        <v>0</v>
      </c>
      <c r="AE103">
        <v>0.6</v>
      </c>
      <c r="AF103">
        <v>31</v>
      </c>
      <c r="AG103">
        <v>23</v>
      </c>
      <c r="AH103">
        <v>8</v>
      </c>
      <c r="AI103">
        <v>0</v>
      </c>
      <c r="AJ103">
        <v>23</v>
      </c>
      <c r="AK103">
        <v>7.5</v>
      </c>
      <c r="AL103">
        <v>0.01</v>
      </c>
      <c r="AM103">
        <v>0</v>
      </c>
      <c r="AN103">
        <v>0.01</v>
      </c>
      <c r="AO103">
        <v>0.01</v>
      </c>
      <c r="AP103">
        <v>0</v>
      </c>
      <c r="AQ103">
        <v>0.01</v>
      </c>
    </row>
    <row r="104" spans="1:43" hidden="1" x14ac:dyDescent="0.25">
      <c r="A104" s="1">
        <v>45931</v>
      </c>
      <c r="B104" t="s">
        <v>32</v>
      </c>
      <c r="C104" t="s">
        <v>37</v>
      </c>
      <c r="D104" t="s">
        <v>37</v>
      </c>
      <c r="E104" t="s">
        <v>32</v>
      </c>
      <c r="F104" t="s">
        <v>34</v>
      </c>
      <c r="G104">
        <v>3</v>
      </c>
      <c r="H104">
        <v>2</v>
      </c>
      <c r="I104">
        <v>1</v>
      </c>
      <c r="J104">
        <v>0</v>
      </c>
      <c r="K104">
        <v>1</v>
      </c>
      <c r="L104">
        <v>123.5</v>
      </c>
      <c r="M104">
        <v>2</v>
      </c>
      <c r="N104">
        <v>2</v>
      </c>
      <c r="O104">
        <v>1</v>
      </c>
      <c r="P104">
        <v>1</v>
      </c>
      <c r="Q104">
        <v>0</v>
      </c>
      <c r="R104">
        <v>0.7</v>
      </c>
      <c r="S104">
        <v>0.21</v>
      </c>
      <c r="T104">
        <v>0.03</v>
      </c>
      <c r="U104">
        <v>440.25</v>
      </c>
      <c r="V104">
        <v>0</v>
      </c>
      <c r="W104">
        <v>0</v>
      </c>
      <c r="X104">
        <v>0</v>
      </c>
      <c r="Y104">
        <v>123.5</v>
      </c>
      <c r="Z104">
        <v>7.0000000000000007E-2</v>
      </c>
      <c r="AA104">
        <v>0</v>
      </c>
      <c r="AB104">
        <v>7.0000000000000007E-2</v>
      </c>
      <c r="AC104">
        <v>0.03</v>
      </c>
      <c r="AD104">
        <v>0</v>
      </c>
      <c r="AE104">
        <v>0.03</v>
      </c>
      <c r="AF104">
        <v>31</v>
      </c>
      <c r="AG104">
        <v>23</v>
      </c>
      <c r="AH104">
        <v>8</v>
      </c>
      <c r="AI104">
        <v>0</v>
      </c>
      <c r="AJ104">
        <v>23</v>
      </c>
      <c r="AK104">
        <v>7.5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</row>
    <row r="105" spans="1:43" hidden="1" x14ac:dyDescent="0.25">
      <c r="A105" s="1">
        <v>45931</v>
      </c>
      <c r="B105" t="s">
        <v>32</v>
      </c>
      <c r="C105" t="s">
        <v>38</v>
      </c>
      <c r="D105" t="s">
        <v>38</v>
      </c>
      <c r="E105" t="s">
        <v>32</v>
      </c>
      <c r="F105" t="s">
        <v>34</v>
      </c>
      <c r="G105">
        <v>4711</v>
      </c>
      <c r="H105">
        <v>4708</v>
      </c>
      <c r="I105">
        <v>5734</v>
      </c>
      <c r="J105">
        <v>0</v>
      </c>
      <c r="K105">
        <v>5734</v>
      </c>
      <c r="L105">
        <v>592.54</v>
      </c>
      <c r="M105">
        <v>4632</v>
      </c>
      <c r="N105">
        <v>4271</v>
      </c>
      <c r="O105">
        <v>0.92210000000000003</v>
      </c>
      <c r="P105">
        <v>0.48770000000000002</v>
      </c>
      <c r="Q105">
        <v>0.51229999999999998</v>
      </c>
      <c r="R105">
        <v>0.7</v>
      </c>
      <c r="S105">
        <v>0.21</v>
      </c>
      <c r="T105">
        <v>0.03</v>
      </c>
      <c r="U105">
        <v>630.08000000000004</v>
      </c>
      <c r="V105">
        <v>0.7</v>
      </c>
      <c r="W105">
        <v>0.21</v>
      </c>
      <c r="X105">
        <v>0.03</v>
      </c>
      <c r="Y105">
        <v>592.54</v>
      </c>
      <c r="Z105">
        <v>377.92</v>
      </c>
      <c r="AA105">
        <v>396.99</v>
      </c>
      <c r="AB105">
        <v>774.91</v>
      </c>
      <c r="AC105">
        <v>460.28</v>
      </c>
      <c r="AD105">
        <v>483.5</v>
      </c>
      <c r="AE105">
        <v>943.78</v>
      </c>
      <c r="AF105">
        <v>31</v>
      </c>
      <c r="AG105">
        <v>23</v>
      </c>
      <c r="AH105">
        <v>8</v>
      </c>
      <c r="AI105">
        <v>0</v>
      </c>
      <c r="AJ105">
        <v>23</v>
      </c>
      <c r="AK105">
        <v>7.5</v>
      </c>
      <c r="AL105">
        <v>4.08</v>
      </c>
      <c r="AM105">
        <v>4.29</v>
      </c>
      <c r="AN105">
        <v>8.3699999999999992</v>
      </c>
      <c r="AO105">
        <v>4.97</v>
      </c>
      <c r="AP105">
        <v>5.22</v>
      </c>
      <c r="AQ105">
        <v>10.19</v>
      </c>
    </row>
    <row r="106" spans="1:43" hidden="1" x14ac:dyDescent="0.25">
      <c r="A106" s="1">
        <v>45931</v>
      </c>
      <c r="B106" t="s">
        <v>32</v>
      </c>
      <c r="C106" t="s">
        <v>39</v>
      </c>
      <c r="D106" t="s">
        <v>39</v>
      </c>
      <c r="E106" t="s">
        <v>32</v>
      </c>
      <c r="F106" t="s">
        <v>34</v>
      </c>
      <c r="G106">
        <v>76</v>
      </c>
      <c r="H106">
        <v>180</v>
      </c>
      <c r="I106">
        <v>131</v>
      </c>
      <c r="J106">
        <v>0</v>
      </c>
      <c r="K106">
        <v>131</v>
      </c>
      <c r="L106">
        <v>530.16</v>
      </c>
      <c r="M106">
        <v>180</v>
      </c>
      <c r="N106">
        <v>146</v>
      </c>
      <c r="O106">
        <v>0.81110000000000004</v>
      </c>
      <c r="P106">
        <v>1</v>
      </c>
      <c r="Q106">
        <v>0</v>
      </c>
      <c r="R106">
        <v>0.7</v>
      </c>
      <c r="S106">
        <v>0.21</v>
      </c>
      <c r="T106">
        <v>0.03</v>
      </c>
      <c r="U106">
        <v>574.70000000000005</v>
      </c>
      <c r="V106">
        <v>0</v>
      </c>
      <c r="W106">
        <v>0</v>
      </c>
      <c r="X106">
        <v>0</v>
      </c>
      <c r="Y106">
        <v>530.16</v>
      </c>
      <c r="Z106">
        <v>26.51</v>
      </c>
      <c r="AA106">
        <v>0</v>
      </c>
      <c r="AB106">
        <v>26.51</v>
      </c>
      <c r="AC106">
        <v>19.29</v>
      </c>
      <c r="AD106">
        <v>0</v>
      </c>
      <c r="AE106">
        <v>19.29</v>
      </c>
      <c r="AF106">
        <v>31</v>
      </c>
      <c r="AG106">
        <v>23</v>
      </c>
      <c r="AH106">
        <v>8</v>
      </c>
      <c r="AI106">
        <v>0</v>
      </c>
      <c r="AJ106">
        <v>23</v>
      </c>
      <c r="AK106">
        <v>7.5</v>
      </c>
      <c r="AL106">
        <v>0.28999999999999998</v>
      </c>
      <c r="AM106">
        <v>0</v>
      </c>
      <c r="AN106">
        <v>0.28999999999999998</v>
      </c>
      <c r="AO106">
        <v>0.21</v>
      </c>
      <c r="AP106">
        <v>0</v>
      </c>
      <c r="AQ106">
        <v>0.21</v>
      </c>
    </row>
    <row r="107" spans="1:43" hidden="1" x14ac:dyDescent="0.25">
      <c r="A107" s="1">
        <v>45931</v>
      </c>
      <c r="B107" t="s">
        <v>32</v>
      </c>
      <c r="C107" t="s">
        <v>40</v>
      </c>
      <c r="D107" t="s">
        <v>40</v>
      </c>
      <c r="E107" t="s">
        <v>32</v>
      </c>
      <c r="F107" t="s">
        <v>34</v>
      </c>
      <c r="G107">
        <v>29</v>
      </c>
      <c r="H107">
        <v>53</v>
      </c>
      <c r="I107">
        <v>36</v>
      </c>
      <c r="J107">
        <v>0</v>
      </c>
      <c r="K107">
        <v>36</v>
      </c>
      <c r="L107">
        <v>720.32</v>
      </c>
      <c r="M107">
        <v>53</v>
      </c>
      <c r="N107">
        <v>52</v>
      </c>
      <c r="O107">
        <v>0.98109999999999997</v>
      </c>
      <c r="P107">
        <v>3.7699999999999997E-2</v>
      </c>
      <c r="Q107">
        <v>0.96230000000000004</v>
      </c>
      <c r="R107">
        <v>0.7</v>
      </c>
      <c r="S107">
        <v>0.21</v>
      </c>
      <c r="T107">
        <v>0.03</v>
      </c>
      <c r="U107">
        <v>744.75</v>
      </c>
      <c r="V107">
        <v>0.7</v>
      </c>
      <c r="W107">
        <v>0.21</v>
      </c>
      <c r="X107">
        <v>0.03</v>
      </c>
      <c r="Y107">
        <v>720.32</v>
      </c>
      <c r="Z107">
        <v>0.4</v>
      </c>
      <c r="AA107">
        <v>10.199999999999999</v>
      </c>
      <c r="AB107">
        <v>10.6</v>
      </c>
      <c r="AC107">
        <v>0.27</v>
      </c>
      <c r="AD107">
        <v>6.93</v>
      </c>
      <c r="AE107">
        <v>7.2</v>
      </c>
      <c r="AF107">
        <v>31</v>
      </c>
      <c r="AG107">
        <v>23</v>
      </c>
      <c r="AH107">
        <v>8</v>
      </c>
      <c r="AI107">
        <v>0</v>
      </c>
      <c r="AJ107">
        <v>23</v>
      </c>
      <c r="AK107">
        <v>7.5</v>
      </c>
      <c r="AL107">
        <v>0</v>
      </c>
      <c r="AM107">
        <v>0.11</v>
      </c>
      <c r="AN107">
        <v>0.11</v>
      </c>
      <c r="AO107">
        <v>0</v>
      </c>
      <c r="AP107">
        <v>7.0000000000000007E-2</v>
      </c>
      <c r="AQ107">
        <v>7.0000000000000007E-2</v>
      </c>
    </row>
    <row r="108" spans="1:43" hidden="1" x14ac:dyDescent="0.25">
      <c r="A108" s="1">
        <v>45931</v>
      </c>
      <c r="B108" t="s">
        <v>32</v>
      </c>
      <c r="C108" t="s">
        <v>41</v>
      </c>
      <c r="D108" t="s">
        <v>41</v>
      </c>
      <c r="E108" t="s">
        <v>32</v>
      </c>
      <c r="F108" t="s">
        <v>34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125</v>
      </c>
      <c r="Z108">
        <v>0</v>
      </c>
      <c r="AA108" t="s">
        <v>125</v>
      </c>
      <c r="AB108" t="s">
        <v>125</v>
      </c>
      <c r="AC108">
        <v>0</v>
      </c>
      <c r="AD108" t="s">
        <v>125</v>
      </c>
      <c r="AE108" t="s">
        <v>125</v>
      </c>
      <c r="AF108">
        <v>31</v>
      </c>
      <c r="AG108">
        <v>23</v>
      </c>
      <c r="AH108">
        <v>8</v>
      </c>
      <c r="AI108">
        <v>0</v>
      </c>
      <c r="AJ108">
        <v>23</v>
      </c>
      <c r="AK108">
        <v>7.5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</row>
    <row r="109" spans="1:43" hidden="1" x14ac:dyDescent="0.25">
      <c r="A109" s="1">
        <v>45931</v>
      </c>
      <c r="B109" t="s">
        <v>32</v>
      </c>
      <c r="C109" t="s">
        <v>42</v>
      </c>
      <c r="D109" t="s">
        <v>42</v>
      </c>
      <c r="E109" t="s">
        <v>32</v>
      </c>
      <c r="F109" t="s">
        <v>34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125</v>
      </c>
      <c r="Z109">
        <v>0</v>
      </c>
      <c r="AA109" t="s">
        <v>125</v>
      </c>
      <c r="AB109" t="s">
        <v>125</v>
      </c>
      <c r="AC109">
        <v>0</v>
      </c>
      <c r="AD109" t="s">
        <v>125</v>
      </c>
      <c r="AE109" t="s">
        <v>125</v>
      </c>
      <c r="AF109">
        <v>31</v>
      </c>
      <c r="AG109">
        <v>23</v>
      </c>
      <c r="AH109">
        <v>8</v>
      </c>
      <c r="AI109">
        <v>0</v>
      </c>
      <c r="AJ109">
        <v>23</v>
      </c>
      <c r="AK109">
        <v>7.5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</row>
    <row r="110" spans="1:43" hidden="1" x14ac:dyDescent="0.25">
      <c r="A110" s="1">
        <v>45931</v>
      </c>
      <c r="B110" t="s">
        <v>32</v>
      </c>
      <c r="C110" t="s">
        <v>43</v>
      </c>
      <c r="D110" t="s">
        <v>43</v>
      </c>
      <c r="E110" t="s">
        <v>32</v>
      </c>
      <c r="F110" t="s">
        <v>34</v>
      </c>
      <c r="G110">
        <v>7</v>
      </c>
      <c r="H110">
        <v>3</v>
      </c>
      <c r="I110">
        <v>2</v>
      </c>
      <c r="J110">
        <v>0</v>
      </c>
      <c r="K110">
        <v>2</v>
      </c>
      <c r="L110">
        <v>327.67</v>
      </c>
      <c r="M110">
        <v>3</v>
      </c>
      <c r="N110">
        <v>3</v>
      </c>
      <c r="O110">
        <v>1</v>
      </c>
      <c r="P110">
        <v>1</v>
      </c>
      <c r="Q110">
        <v>0</v>
      </c>
      <c r="R110">
        <v>0.7</v>
      </c>
      <c r="S110">
        <v>0.21</v>
      </c>
      <c r="T110">
        <v>0.03</v>
      </c>
      <c r="U110">
        <v>466.5</v>
      </c>
      <c r="V110">
        <v>0</v>
      </c>
      <c r="W110">
        <v>0</v>
      </c>
      <c r="X110">
        <v>0</v>
      </c>
      <c r="Y110">
        <v>327.67</v>
      </c>
      <c r="Z110">
        <v>0.27</v>
      </c>
      <c r="AA110">
        <v>0</v>
      </c>
      <c r="AB110">
        <v>0.27</v>
      </c>
      <c r="AC110">
        <v>0.18</v>
      </c>
      <c r="AD110">
        <v>0</v>
      </c>
      <c r="AE110">
        <v>0.18</v>
      </c>
      <c r="AF110">
        <v>31</v>
      </c>
      <c r="AG110">
        <v>23</v>
      </c>
      <c r="AH110">
        <v>8</v>
      </c>
      <c r="AI110">
        <v>0</v>
      </c>
      <c r="AJ110">
        <v>23</v>
      </c>
      <c r="AK110">
        <v>7.5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</row>
    <row r="111" spans="1:43" hidden="1" x14ac:dyDescent="0.25">
      <c r="A111" s="1">
        <v>45931</v>
      </c>
      <c r="B111" t="s">
        <v>32</v>
      </c>
      <c r="C111" t="s">
        <v>44</v>
      </c>
      <c r="D111" t="s">
        <v>44</v>
      </c>
      <c r="E111" t="s">
        <v>32</v>
      </c>
      <c r="F111" t="s">
        <v>34</v>
      </c>
      <c r="G111">
        <v>107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1</v>
      </c>
      <c r="Q111">
        <v>0</v>
      </c>
      <c r="R111">
        <v>0.7</v>
      </c>
      <c r="S111">
        <v>0.21</v>
      </c>
      <c r="T111">
        <v>0.03</v>
      </c>
      <c r="U111">
        <v>0</v>
      </c>
      <c r="V111">
        <v>0</v>
      </c>
      <c r="W111">
        <v>0</v>
      </c>
      <c r="X111">
        <v>0</v>
      </c>
      <c r="Y111" t="s">
        <v>125</v>
      </c>
      <c r="Z111">
        <v>0</v>
      </c>
      <c r="AA111" t="s">
        <v>125</v>
      </c>
      <c r="AB111" t="s">
        <v>125</v>
      </c>
      <c r="AC111">
        <v>0</v>
      </c>
      <c r="AD111" t="s">
        <v>125</v>
      </c>
      <c r="AE111" t="s">
        <v>125</v>
      </c>
      <c r="AF111">
        <v>31</v>
      </c>
      <c r="AG111">
        <v>23</v>
      </c>
      <c r="AH111">
        <v>8</v>
      </c>
      <c r="AI111">
        <v>0</v>
      </c>
      <c r="AJ111">
        <v>23</v>
      </c>
      <c r="AK111">
        <v>7.5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</row>
    <row r="112" spans="1:43" hidden="1" x14ac:dyDescent="0.25">
      <c r="A112" s="1">
        <v>45962</v>
      </c>
      <c r="B112" t="s">
        <v>32</v>
      </c>
      <c r="C112" t="s">
        <v>33</v>
      </c>
      <c r="D112" t="s">
        <v>33</v>
      </c>
      <c r="E112" t="s">
        <v>32</v>
      </c>
      <c r="F112" t="s">
        <v>34</v>
      </c>
      <c r="G112">
        <v>41</v>
      </c>
      <c r="H112">
        <v>24</v>
      </c>
      <c r="I112">
        <v>22</v>
      </c>
      <c r="J112">
        <v>0</v>
      </c>
      <c r="K112">
        <v>22</v>
      </c>
      <c r="L112">
        <v>290.62</v>
      </c>
      <c r="M112">
        <v>21</v>
      </c>
      <c r="N112">
        <v>21</v>
      </c>
      <c r="O112">
        <v>1</v>
      </c>
      <c r="P112">
        <v>1</v>
      </c>
      <c r="Q112">
        <v>0</v>
      </c>
      <c r="R112">
        <v>0.7</v>
      </c>
      <c r="S112">
        <v>0.21</v>
      </c>
      <c r="T112">
        <v>0.03</v>
      </c>
      <c r="U112">
        <v>354.29</v>
      </c>
      <c r="V112">
        <v>0</v>
      </c>
      <c r="W112">
        <v>0</v>
      </c>
      <c r="X112">
        <v>0</v>
      </c>
      <c r="Y112">
        <v>290.62</v>
      </c>
      <c r="Z112">
        <v>1.94</v>
      </c>
      <c r="AA112">
        <v>0</v>
      </c>
      <c r="AB112">
        <v>1.94</v>
      </c>
      <c r="AC112">
        <v>1.78</v>
      </c>
      <c r="AD112">
        <v>0</v>
      </c>
      <c r="AE112">
        <v>1.78</v>
      </c>
      <c r="AF112">
        <v>30</v>
      </c>
      <c r="AG112">
        <v>20</v>
      </c>
      <c r="AH112">
        <v>10</v>
      </c>
      <c r="AI112">
        <v>2</v>
      </c>
      <c r="AJ112">
        <v>18</v>
      </c>
      <c r="AK112">
        <v>7.5</v>
      </c>
      <c r="AL112">
        <v>0.03</v>
      </c>
      <c r="AM112">
        <v>0</v>
      </c>
      <c r="AN112">
        <v>0.03</v>
      </c>
      <c r="AO112">
        <v>0.02</v>
      </c>
      <c r="AP112">
        <v>0</v>
      </c>
      <c r="AQ112">
        <v>0.02</v>
      </c>
    </row>
    <row r="113" spans="1:43" hidden="1" x14ac:dyDescent="0.25">
      <c r="A113" s="1">
        <v>45962</v>
      </c>
      <c r="B113" t="s">
        <v>32</v>
      </c>
      <c r="C113" t="s">
        <v>32</v>
      </c>
      <c r="D113" t="s">
        <v>32</v>
      </c>
      <c r="E113" t="s">
        <v>32</v>
      </c>
      <c r="F113" t="s">
        <v>35</v>
      </c>
      <c r="G113">
        <v>360</v>
      </c>
      <c r="H113">
        <v>136</v>
      </c>
      <c r="I113">
        <v>287</v>
      </c>
      <c r="J113">
        <v>0</v>
      </c>
      <c r="K113">
        <v>287</v>
      </c>
      <c r="L113">
        <v>1620.18</v>
      </c>
      <c r="M113">
        <v>134</v>
      </c>
      <c r="N113">
        <v>115</v>
      </c>
      <c r="O113">
        <v>0.85819999999999996</v>
      </c>
      <c r="P113">
        <v>1</v>
      </c>
      <c r="Q113">
        <v>0</v>
      </c>
      <c r="R113">
        <v>0.7</v>
      </c>
      <c r="S113">
        <v>0.21</v>
      </c>
      <c r="T113">
        <v>0.03</v>
      </c>
      <c r="U113">
        <v>1251.21</v>
      </c>
      <c r="V113">
        <v>0</v>
      </c>
      <c r="W113">
        <v>0</v>
      </c>
      <c r="X113">
        <v>0</v>
      </c>
      <c r="Y113">
        <v>1620.18</v>
      </c>
      <c r="Z113">
        <v>61.21</v>
      </c>
      <c r="AA113">
        <v>0</v>
      </c>
      <c r="AB113">
        <v>61.21</v>
      </c>
      <c r="AC113">
        <v>129.16</v>
      </c>
      <c r="AD113">
        <v>0</v>
      </c>
      <c r="AE113">
        <v>129.16</v>
      </c>
      <c r="AF113">
        <v>30</v>
      </c>
      <c r="AG113">
        <v>20</v>
      </c>
      <c r="AH113">
        <v>10</v>
      </c>
      <c r="AI113">
        <v>2</v>
      </c>
      <c r="AJ113">
        <v>18</v>
      </c>
      <c r="AK113">
        <v>7.5</v>
      </c>
      <c r="AL113">
        <v>0.84</v>
      </c>
      <c r="AM113">
        <v>0</v>
      </c>
      <c r="AN113">
        <v>0.84</v>
      </c>
      <c r="AO113">
        <v>1.78</v>
      </c>
      <c r="AP113">
        <v>0</v>
      </c>
      <c r="AQ113">
        <v>1.78</v>
      </c>
    </row>
    <row r="114" spans="1:43" hidden="1" x14ac:dyDescent="0.25">
      <c r="A114" s="1">
        <v>45962</v>
      </c>
      <c r="B114" t="s">
        <v>32</v>
      </c>
      <c r="C114" t="s">
        <v>36</v>
      </c>
      <c r="D114" t="s">
        <v>36</v>
      </c>
      <c r="E114" t="s">
        <v>32</v>
      </c>
      <c r="F114" t="s">
        <v>34</v>
      </c>
      <c r="G114">
        <v>12</v>
      </c>
      <c r="H114">
        <v>10</v>
      </c>
      <c r="I114">
        <v>3</v>
      </c>
      <c r="J114">
        <v>0</v>
      </c>
      <c r="K114">
        <v>3</v>
      </c>
      <c r="L114">
        <v>259.25</v>
      </c>
      <c r="M114">
        <v>4</v>
      </c>
      <c r="N114">
        <v>4</v>
      </c>
      <c r="O114">
        <v>1</v>
      </c>
      <c r="P114">
        <v>1</v>
      </c>
      <c r="Q114">
        <v>0</v>
      </c>
      <c r="R114">
        <v>0.7</v>
      </c>
      <c r="S114">
        <v>0.21</v>
      </c>
      <c r="T114">
        <v>0.03</v>
      </c>
      <c r="U114">
        <v>499.58</v>
      </c>
      <c r="V114">
        <v>0</v>
      </c>
      <c r="W114">
        <v>0</v>
      </c>
      <c r="X114">
        <v>0</v>
      </c>
      <c r="Y114">
        <v>259.25</v>
      </c>
      <c r="Z114">
        <v>0.72</v>
      </c>
      <c r="AA114">
        <v>0</v>
      </c>
      <c r="AB114">
        <v>0.72</v>
      </c>
      <c r="AC114">
        <v>0.22</v>
      </c>
      <c r="AD114">
        <v>0</v>
      </c>
      <c r="AE114">
        <v>0.22</v>
      </c>
      <c r="AF114">
        <v>30</v>
      </c>
      <c r="AG114">
        <v>20</v>
      </c>
      <c r="AH114">
        <v>10</v>
      </c>
      <c r="AI114">
        <v>2</v>
      </c>
      <c r="AJ114">
        <v>18</v>
      </c>
      <c r="AK114">
        <v>7.5</v>
      </c>
      <c r="AL114">
        <v>0.01</v>
      </c>
      <c r="AM114">
        <v>0</v>
      </c>
      <c r="AN114">
        <v>0.01</v>
      </c>
      <c r="AO114">
        <v>0</v>
      </c>
      <c r="AP114">
        <v>0</v>
      </c>
      <c r="AQ114">
        <v>0</v>
      </c>
    </row>
    <row r="115" spans="1:43" hidden="1" x14ac:dyDescent="0.25">
      <c r="A115" s="1">
        <v>45962</v>
      </c>
      <c r="B115" t="s">
        <v>32</v>
      </c>
      <c r="C115" t="s">
        <v>37</v>
      </c>
      <c r="D115" t="s">
        <v>37</v>
      </c>
      <c r="E115" t="s">
        <v>32</v>
      </c>
      <c r="F115" t="s">
        <v>34</v>
      </c>
      <c r="G115">
        <v>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0.7</v>
      </c>
      <c r="S115">
        <v>0.21</v>
      </c>
      <c r="T115">
        <v>0.03</v>
      </c>
      <c r="U115">
        <v>208.5</v>
      </c>
      <c r="V115">
        <v>0</v>
      </c>
      <c r="W115">
        <v>0</v>
      </c>
      <c r="X115">
        <v>0</v>
      </c>
      <c r="Y115" t="s">
        <v>125</v>
      </c>
      <c r="Z115">
        <v>0</v>
      </c>
      <c r="AA115" t="s">
        <v>125</v>
      </c>
      <c r="AB115" t="s">
        <v>125</v>
      </c>
      <c r="AC115">
        <v>0</v>
      </c>
      <c r="AD115" t="s">
        <v>125</v>
      </c>
      <c r="AE115" t="s">
        <v>125</v>
      </c>
      <c r="AF115">
        <v>30</v>
      </c>
      <c r="AG115">
        <v>20</v>
      </c>
      <c r="AH115">
        <v>10</v>
      </c>
      <c r="AI115">
        <v>2</v>
      </c>
      <c r="AJ115">
        <v>18</v>
      </c>
      <c r="AK115">
        <v>7.5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</row>
    <row r="116" spans="1:43" hidden="1" x14ac:dyDescent="0.25">
      <c r="A116" s="1">
        <v>45962</v>
      </c>
      <c r="B116" t="s">
        <v>32</v>
      </c>
      <c r="C116" t="s">
        <v>38</v>
      </c>
      <c r="D116" t="s">
        <v>38</v>
      </c>
      <c r="E116" t="s">
        <v>32</v>
      </c>
      <c r="F116" t="s">
        <v>34</v>
      </c>
      <c r="G116">
        <v>5358</v>
      </c>
      <c r="H116">
        <v>3396</v>
      </c>
      <c r="I116">
        <v>4487</v>
      </c>
      <c r="J116">
        <v>0</v>
      </c>
      <c r="K116">
        <v>4487</v>
      </c>
      <c r="L116">
        <v>616.85</v>
      </c>
      <c r="M116">
        <v>3325</v>
      </c>
      <c r="N116">
        <v>3052</v>
      </c>
      <c r="O116">
        <v>0.91790000000000005</v>
      </c>
      <c r="P116">
        <v>0.46110000000000001</v>
      </c>
      <c r="Q116">
        <v>0.53890000000000005</v>
      </c>
      <c r="R116">
        <v>0.7</v>
      </c>
      <c r="S116">
        <v>0.21</v>
      </c>
      <c r="T116">
        <v>0.03</v>
      </c>
      <c r="U116">
        <v>618.13</v>
      </c>
      <c r="V116">
        <v>0.7</v>
      </c>
      <c r="W116">
        <v>0.21</v>
      </c>
      <c r="X116">
        <v>0.03</v>
      </c>
      <c r="Y116">
        <v>616.85</v>
      </c>
      <c r="Z116">
        <v>268.31</v>
      </c>
      <c r="AA116">
        <v>313.58</v>
      </c>
      <c r="AB116">
        <v>581.9</v>
      </c>
      <c r="AC116">
        <v>354.51</v>
      </c>
      <c r="AD116">
        <v>414.33</v>
      </c>
      <c r="AE116">
        <v>768.83</v>
      </c>
      <c r="AF116">
        <v>30</v>
      </c>
      <c r="AG116">
        <v>20</v>
      </c>
      <c r="AH116">
        <v>10</v>
      </c>
      <c r="AI116">
        <v>2</v>
      </c>
      <c r="AJ116">
        <v>18</v>
      </c>
      <c r="AK116">
        <v>7.5</v>
      </c>
      <c r="AL116">
        <v>3.7</v>
      </c>
      <c r="AM116">
        <v>4.33</v>
      </c>
      <c r="AN116">
        <v>8.0299999999999994</v>
      </c>
      <c r="AO116">
        <v>4.8899999999999997</v>
      </c>
      <c r="AP116">
        <v>5.72</v>
      </c>
      <c r="AQ116">
        <v>10.61</v>
      </c>
    </row>
    <row r="117" spans="1:43" hidden="1" x14ac:dyDescent="0.25">
      <c r="A117" s="1">
        <v>45962</v>
      </c>
      <c r="B117" t="s">
        <v>32</v>
      </c>
      <c r="C117" t="s">
        <v>39</v>
      </c>
      <c r="D117" t="s">
        <v>39</v>
      </c>
      <c r="E117" t="s">
        <v>32</v>
      </c>
      <c r="F117" t="s">
        <v>34</v>
      </c>
      <c r="G117">
        <v>272</v>
      </c>
      <c r="H117">
        <v>41</v>
      </c>
      <c r="I117">
        <v>102</v>
      </c>
      <c r="J117">
        <v>0</v>
      </c>
      <c r="K117">
        <v>102</v>
      </c>
      <c r="L117">
        <v>490.34</v>
      </c>
      <c r="M117">
        <v>41</v>
      </c>
      <c r="N117">
        <v>29</v>
      </c>
      <c r="O117">
        <v>0.70730000000000004</v>
      </c>
      <c r="P117">
        <v>1</v>
      </c>
      <c r="Q117">
        <v>0</v>
      </c>
      <c r="R117">
        <v>0.7</v>
      </c>
      <c r="S117">
        <v>0.21</v>
      </c>
      <c r="T117">
        <v>0.03</v>
      </c>
      <c r="U117">
        <v>560.96</v>
      </c>
      <c r="V117">
        <v>0</v>
      </c>
      <c r="W117">
        <v>0</v>
      </c>
      <c r="X117">
        <v>0</v>
      </c>
      <c r="Y117">
        <v>490.34</v>
      </c>
      <c r="Z117">
        <v>5.58</v>
      </c>
      <c r="AA117">
        <v>0</v>
      </c>
      <c r="AB117">
        <v>5.58</v>
      </c>
      <c r="AC117">
        <v>13.89</v>
      </c>
      <c r="AD117">
        <v>0</v>
      </c>
      <c r="AE117">
        <v>13.89</v>
      </c>
      <c r="AF117">
        <v>30</v>
      </c>
      <c r="AG117">
        <v>20</v>
      </c>
      <c r="AH117">
        <v>10</v>
      </c>
      <c r="AI117">
        <v>2</v>
      </c>
      <c r="AJ117">
        <v>18</v>
      </c>
      <c r="AK117">
        <v>7.5</v>
      </c>
      <c r="AL117">
        <v>0.08</v>
      </c>
      <c r="AM117">
        <v>0</v>
      </c>
      <c r="AN117">
        <v>0.08</v>
      </c>
      <c r="AO117">
        <v>0.19</v>
      </c>
      <c r="AP117">
        <v>0</v>
      </c>
      <c r="AQ117">
        <v>0.19</v>
      </c>
    </row>
    <row r="118" spans="1:43" hidden="1" x14ac:dyDescent="0.25">
      <c r="A118" s="1">
        <v>45962</v>
      </c>
      <c r="B118" t="s">
        <v>32</v>
      </c>
      <c r="C118" t="s">
        <v>40</v>
      </c>
      <c r="D118" t="s">
        <v>40</v>
      </c>
      <c r="E118" t="s">
        <v>32</v>
      </c>
      <c r="F118" t="s">
        <v>34</v>
      </c>
      <c r="G118">
        <v>33</v>
      </c>
      <c r="H118">
        <v>38</v>
      </c>
      <c r="I118">
        <v>29</v>
      </c>
      <c r="J118">
        <v>0</v>
      </c>
      <c r="K118">
        <v>29</v>
      </c>
      <c r="L118">
        <v>737.83</v>
      </c>
      <c r="M118">
        <v>36</v>
      </c>
      <c r="N118">
        <v>32</v>
      </c>
      <c r="O118">
        <v>0.88890000000000002</v>
      </c>
      <c r="P118">
        <v>0</v>
      </c>
      <c r="Q118">
        <v>1</v>
      </c>
      <c r="R118">
        <v>0.7</v>
      </c>
      <c r="S118">
        <v>0.21</v>
      </c>
      <c r="T118">
        <v>0.03</v>
      </c>
      <c r="U118">
        <v>745.79</v>
      </c>
      <c r="V118">
        <v>0.7</v>
      </c>
      <c r="W118">
        <v>0.21</v>
      </c>
      <c r="X118">
        <v>0.03</v>
      </c>
      <c r="Y118">
        <v>737.83</v>
      </c>
      <c r="Z118">
        <v>0</v>
      </c>
      <c r="AA118">
        <v>7.79</v>
      </c>
      <c r="AB118">
        <v>7.79</v>
      </c>
      <c r="AC118">
        <v>0</v>
      </c>
      <c r="AD118">
        <v>5.94</v>
      </c>
      <c r="AE118">
        <v>5.94</v>
      </c>
      <c r="AF118">
        <v>30</v>
      </c>
      <c r="AG118">
        <v>20</v>
      </c>
      <c r="AH118">
        <v>10</v>
      </c>
      <c r="AI118">
        <v>2</v>
      </c>
      <c r="AJ118">
        <v>18</v>
      </c>
      <c r="AK118">
        <v>7.5</v>
      </c>
      <c r="AL118">
        <v>0</v>
      </c>
      <c r="AM118">
        <v>0.11</v>
      </c>
      <c r="AN118">
        <v>0.11</v>
      </c>
      <c r="AO118">
        <v>0</v>
      </c>
      <c r="AP118">
        <v>0.08</v>
      </c>
      <c r="AQ118">
        <v>0.08</v>
      </c>
    </row>
    <row r="119" spans="1:43" hidden="1" x14ac:dyDescent="0.25">
      <c r="A119" s="1">
        <v>45962</v>
      </c>
      <c r="B119" t="s">
        <v>32</v>
      </c>
      <c r="C119" t="s">
        <v>41</v>
      </c>
      <c r="D119" t="s">
        <v>41</v>
      </c>
      <c r="E119" t="s">
        <v>32</v>
      </c>
      <c r="F119" t="s">
        <v>34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t="s">
        <v>125</v>
      </c>
      <c r="Z119">
        <v>0</v>
      </c>
      <c r="AA119" t="s">
        <v>125</v>
      </c>
      <c r="AB119" t="s">
        <v>125</v>
      </c>
      <c r="AC119">
        <v>0</v>
      </c>
      <c r="AD119" t="s">
        <v>125</v>
      </c>
      <c r="AE119" t="s">
        <v>125</v>
      </c>
      <c r="AF119">
        <v>30</v>
      </c>
      <c r="AG119">
        <v>20</v>
      </c>
      <c r="AH119">
        <v>10</v>
      </c>
      <c r="AI119">
        <v>2</v>
      </c>
      <c r="AJ119">
        <v>18</v>
      </c>
      <c r="AK119">
        <v>7.5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</row>
    <row r="120" spans="1:43" hidden="1" x14ac:dyDescent="0.25">
      <c r="A120" s="1">
        <v>45962</v>
      </c>
      <c r="B120" t="s">
        <v>32</v>
      </c>
      <c r="C120" t="s">
        <v>42</v>
      </c>
      <c r="D120" t="s">
        <v>42</v>
      </c>
      <c r="E120" t="s">
        <v>32</v>
      </c>
      <c r="F120" t="s">
        <v>34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125</v>
      </c>
      <c r="Z120">
        <v>0</v>
      </c>
      <c r="AA120" t="s">
        <v>125</v>
      </c>
      <c r="AB120" t="s">
        <v>125</v>
      </c>
      <c r="AC120">
        <v>0</v>
      </c>
      <c r="AD120" t="s">
        <v>125</v>
      </c>
      <c r="AE120" t="s">
        <v>125</v>
      </c>
      <c r="AF120">
        <v>30</v>
      </c>
      <c r="AG120">
        <v>20</v>
      </c>
      <c r="AH120">
        <v>10</v>
      </c>
      <c r="AI120">
        <v>2</v>
      </c>
      <c r="AJ120">
        <v>18</v>
      </c>
      <c r="AK120">
        <v>7.5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</row>
    <row r="121" spans="1:43" hidden="1" x14ac:dyDescent="0.25">
      <c r="A121" s="1">
        <v>45962</v>
      </c>
      <c r="B121" t="s">
        <v>32</v>
      </c>
      <c r="C121" t="s">
        <v>43</v>
      </c>
      <c r="D121" t="s">
        <v>43</v>
      </c>
      <c r="E121" t="s">
        <v>32</v>
      </c>
      <c r="F121" t="s">
        <v>34</v>
      </c>
      <c r="G121">
        <v>3</v>
      </c>
      <c r="H121">
        <v>4</v>
      </c>
      <c r="I121">
        <v>1</v>
      </c>
      <c r="J121">
        <v>0</v>
      </c>
      <c r="K121">
        <v>1</v>
      </c>
      <c r="L121">
        <v>356.75</v>
      </c>
      <c r="M121">
        <v>4</v>
      </c>
      <c r="N121">
        <v>3</v>
      </c>
      <c r="O121">
        <v>0.75</v>
      </c>
      <c r="P121">
        <v>1</v>
      </c>
      <c r="Q121">
        <v>0</v>
      </c>
      <c r="R121">
        <v>0.7</v>
      </c>
      <c r="S121">
        <v>0.21</v>
      </c>
      <c r="T121">
        <v>0.03</v>
      </c>
      <c r="U121">
        <v>460.72</v>
      </c>
      <c r="V121">
        <v>0</v>
      </c>
      <c r="W121">
        <v>0</v>
      </c>
      <c r="X121">
        <v>0</v>
      </c>
      <c r="Y121">
        <v>356.75</v>
      </c>
      <c r="Z121">
        <v>0.4</v>
      </c>
      <c r="AA121">
        <v>0</v>
      </c>
      <c r="AB121">
        <v>0.4</v>
      </c>
      <c r="AC121">
        <v>0.1</v>
      </c>
      <c r="AD121">
        <v>0</v>
      </c>
      <c r="AE121">
        <v>0.1</v>
      </c>
      <c r="AF121">
        <v>30</v>
      </c>
      <c r="AG121">
        <v>20</v>
      </c>
      <c r="AH121">
        <v>10</v>
      </c>
      <c r="AI121">
        <v>2</v>
      </c>
      <c r="AJ121">
        <v>18</v>
      </c>
      <c r="AK121">
        <v>7.5</v>
      </c>
      <c r="AL121">
        <v>0.01</v>
      </c>
      <c r="AM121">
        <v>0</v>
      </c>
      <c r="AN121">
        <v>0.01</v>
      </c>
      <c r="AO121">
        <v>0</v>
      </c>
      <c r="AP121">
        <v>0</v>
      </c>
      <c r="AQ121">
        <v>0</v>
      </c>
    </row>
    <row r="122" spans="1:43" hidden="1" x14ac:dyDescent="0.25">
      <c r="A122" s="1">
        <v>45962</v>
      </c>
      <c r="B122" t="s">
        <v>32</v>
      </c>
      <c r="C122" t="s">
        <v>44</v>
      </c>
      <c r="D122" t="s">
        <v>44</v>
      </c>
      <c r="E122" t="s">
        <v>32</v>
      </c>
      <c r="F122" t="s">
        <v>34</v>
      </c>
      <c r="G122">
        <v>26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0.7</v>
      </c>
      <c r="S122">
        <v>0.21</v>
      </c>
      <c r="T122">
        <v>0.03</v>
      </c>
      <c r="U122">
        <v>0</v>
      </c>
      <c r="V122">
        <v>0</v>
      </c>
      <c r="W122">
        <v>0</v>
      </c>
      <c r="X122">
        <v>0</v>
      </c>
      <c r="Y122" t="s">
        <v>125</v>
      </c>
      <c r="Z122">
        <v>0</v>
      </c>
      <c r="AA122" t="s">
        <v>125</v>
      </c>
      <c r="AB122" t="s">
        <v>125</v>
      </c>
      <c r="AC122">
        <v>0</v>
      </c>
      <c r="AD122" t="s">
        <v>125</v>
      </c>
      <c r="AE122" t="s">
        <v>125</v>
      </c>
      <c r="AF122">
        <v>30</v>
      </c>
      <c r="AG122">
        <v>20</v>
      </c>
      <c r="AH122">
        <v>10</v>
      </c>
      <c r="AI122">
        <v>2</v>
      </c>
      <c r="AJ122">
        <v>18</v>
      </c>
      <c r="AK122">
        <v>7.5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</row>
    <row r="123" spans="1:43" hidden="1" x14ac:dyDescent="0.25">
      <c r="A123" s="1">
        <v>45992</v>
      </c>
      <c r="B123" t="s">
        <v>32</v>
      </c>
      <c r="C123" t="s">
        <v>33</v>
      </c>
      <c r="D123" t="s">
        <v>33</v>
      </c>
      <c r="E123" t="s">
        <v>32</v>
      </c>
      <c r="F123" t="s">
        <v>34</v>
      </c>
      <c r="G123">
        <v>328</v>
      </c>
      <c r="H123">
        <v>17</v>
      </c>
      <c r="I123">
        <v>21</v>
      </c>
      <c r="J123">
        <v>0</v>
      </c>
      <c r="K123">
        <v>21</v>
      </c>
      <c r="L123">
        <v>361</v>
      </c>
      <c r="M123">
        <v>14</v>
      </c>
      <c r="N123">
        <v>14</v>
      </c>
      <c r="O123">
        <v>1</v>
      </c>
      <c r="P123">
        <v>1</v>
      </c>
      <c r="Q123">
        <v>0</v>
      </c>
      <c r="R123">
        <v>0.7</v>
      </c>
      <c r="S123">
        <v>0.21</v>
      </c>
      <c r="T123">
        <v>0.03</v>
      </c>
      <c r="U123">
        <v>331.42</v>
      </c>
      <c r="V123">
        <v>0</v>
      </c>
      <c r="W123">
        <v>0</v>
      </c>
      <c r="X123">
        <v>0</v>
      </c>
      <c r="Y123">
        <v>361</v>
      </c>
      <c r="Z123">
        <v>1.7</v>
      </c>
      <c r="AA123">
        <v>0</v>
      </c>
      <c r="AB123">
        <v>1.7</v>
      </c>
      <c r="AC123">
        <v>2.11</v>
      </c>
      <c r="AD123">
        <v>0</v>
      </c>
      <c r="AE123">
        <v>2.11</v>
      </c>
      <c r="AF123">
        <v>31</v>
      </c>
      <c r="AG123">
        <v>23</v>
      </c>
      <c r="AH123">
        <v>8</v>
      </c>
      <c r="AI123">
        <v>2</v>
      </c>
      <c r="AJ123">
        <v>21</v>
      </c>
      <c r="AK123">
        <v>7.5</v>
      </c>
      <c r="AL123">
        <v>0.02</v>
      </c>
      <c r="AM123">
        <v>0</v>
      </c>
      <c r="AN123">
        <v>0.02</v>
      </c>
      <c r="AO123">
        <v>0.02</v>
      </c>
      <c r="AP123">
        <v>0</v>
      </c>
      <c r="AQ123">
        <v>0.02</v>
      </c>
    </row>
    <row r="124" spans="1:43" hidden="1" x14ac:dyDescent="0.25">
      <c r="A124" s="1">
        <v>45992</v>
      </c>
      <c r="B124" t="s">
        <v>32</v>
      </c>
      <c r="C124" t="s">
        <v>32</v>
      </c>
      <c r="D124" t="s">
        <v>32</v>
      </c>
      <c r="E124" t="s">
        <v>32</v>
      </c>
      <c r="F124" t="s">
        <v>35</v>
      </c>
      <c r="G124">
        <v>642</v>
      </c>
      <c r="H124">
        <v>126</v>
      </c>
      <c r="I124">
        <v>335</v>
      </c>
      <c r="J124">
        <v>0</v>
      </c>
      <c r="K124">
        <v>335</v>
      </c>
      <c r="L124">
        <v>2233.1</v>
      </c>
      <c r="M124">
        <v>125</v>
      </c>
      <c r="N124">
        <v>124</v>
      </c>
      <c r="O124">
        <v>0.99199999999999999</v>
      </c>
      <c r="P124">
        <v>1</v>
      </c>
      <c r="Q124">
        <v>0</v>
      </c>
      <c r="R124">
        <v>0.7</v>
      </c>
      <c r="S124">
        <v>0.21</v>
      </c>
      <c r="T124">
        <v>0.03</v>
      </c>
      <c r="U124">
        <v>1361.88</v>
      </c>
      <c r="V124">
        <v>0</v>
      </c>
      <c r="W124">
        <v>0</v>
      </c>
      <c r="X124">
        <v>0</v>
      </c>
      <c r="Y124">
        <v>2233.1</v>
      </c>
      <c r="Z124">
        <v>78.16</v>
      </c>
      <c r="AA124">
        <v>0</v>
      </c>
      <c r="AB124">
        <v>78.16</v>
      </c>
      <c r="AC124">
        <v>207.8</v>
      </c>
      <c r="AD124">
        <v>0</v>
      </c>
      <c r="AE124">
        <v>207.8</v>
      </c>
      <c r="AF124">
        <v>31</v>
      </c>
      <c r="AG124">
        <v>23</v>
      </c>
      <c r="AH124">
        <v>8</v>
      </c>
      <c r="AI124">
        <v>2</v>
      </c>
      <c r="AJ124">
        <v>21</v>
      </c>
      <c r="AK124">
        <v>7.5</v>
      </c>
      <c r="AL124">
        <v>0.92</v>
      </c>
      <c r="AM124">
        <v>0</v>
      </c>
      <c r="AN124">
        <v>0.92</v>
      </c>
      <c r="AO124">
        <v>2.46</v>
      </c>
      <c r="AP124">
        <v>0</v>
      </c>
      <c r="AQ124">
        <v>2.46</v>
      </c>
    </row>
    <row r="125" spans="1:43" hidden="1" x14ac:dyDescent="0.25">
      <c r="A125" s="1">
        <v>45992</v>
      </c>
      <c r="B125" t="s">
        <v>32</v>
      </c>
      <c r="C125" t="s">
        <v>36</v>
      </c>
      <c r="D125" t="s">
        <v>36</v>
      </c>
      <c r="E125" t="s">
        <v>32</v>
      </c>
      <c r="F125" t="s">
        <v>34</v>
      </c>
      <c r="G125">
        <v>1</v>
      </c>
      <c r="H125">
        <v>11</v>
      </c>
      <c r="I125">
        <v>4</v>
      </c>
      <c r="J125">
        <v>0</v>
      </c>
      <c r="K125">
        <v>4</v>
      </c>
      <c r="L125">
        <v>489.67</v>
      </c>
      <c r="M125">
        <v>9</v>
      </c>
      <c r="N125">
        <v>9</v>
      </c>
      <c r="O125">
        <v>1</v>
      </c>
      <c r="P125">
        <v>1</v>
      </c>
      <c r="Q125">
        <v>0</v>
      </c>
      <c r="R125">
        <v>0.7</v>
      </c>
      <c r="S125">
        <v>0.21</v>
      </c>
      <c r="T125">
        <v>0.03</v>
      </c>
      <c r="U125">
        <v>431.47</v>
      </c>
      <c r="V125">
        <v>0</v>
      </c>
      <c r="W125">
        <v>0</v>
      </c>
      <c r="X125">
        <v>0</v>
      </c>
      <c r="Y125">
        <v>489.67</v>
      </c>
      <c r="Z125">
        <v>1.5</v>
      </c>
      <c r="AA125">
        <v>0</v>
      </c>
      <c r="AB125">
        <v>1.5</v>
      </c>
      <c r="AC125">
        <v>0.54</v>
      </c>
      <c r="AD125">
        <v>0</v>
      </c>
      <c r="AE125">
        <v>0.54</v>
      </c>
      <c r="AF125">
        <v>31</v>
      </c>
      <c r="AG125">
        <v>23</v>
      </c>
      <c r="AH125">
        <v>8</v>
      </c>
      <c r="AI125">
        <v>2</v>
      </c>
      <c r="AJ125">
        <v>21</v>
      </c>
      <c r="AK125">
        <v>7.5</v>
      </c>
      <c r="AL125">
        <v>0.02</v>
      </c>
      <c r="AM125">
        <v>0</v>
      </c>
      <c r="AN125">
        <v>0.02</v>
      </c>
      <c r="AO125">
        <v>0.01</v>
      </c>
      <c r="AP125">
        <v>0</v>
      </c>
      <c r="AQ125">
        <v>0.01</v>
      </c>
    </row>
    <row r="126" spans="1:43" hidden="1" x14ac:dyDescent="0.25">
      <c r="A126" s="1">
        <v>45992</v>
      </c>
      <c r="B126" t="s">
        <v>32</v>
      </c>
      <c r="C126" t="s">
        <v>37</v>
      </c>
      <c r="D126" t="s">
        <v>37</v>
      </c>
      <c r="E126" t="s">
        <v>32</v>
      </c>
      <c r="F126" t="s">
        <v>34</v>
      </c>
      <c r="G126">
        <v>0</v>
      </c>
      <c r="H126">
        <v>1</v>
      </c>
      <c r="I126">
        <v>1</v>
      </c>
      <c r="J126">
        <v>0</v>
      </c>
      <c r="K126">
        <v>1</v>
      </c>
      <c r="L126">
        <v>538</v>
      </c>
      <c r="M126">
        <v>1</v>
      </c>
      <c r="N126">
        <v>1</v>
      </c>
      <c r="O126">
        <v>1</v>
      </c>
      <c r="P126">
        <v>1</v>
      </c>
      <c r="Q126">
        <v>0</v>
      </c>
      <c r="R126">
        <v>0.7</v>
      </c>
      <c r="S126">
        <v>0.21</v>
      </c>
      <c r="T126">
        <v>0.03</v>
      </c>
      <c r="U126">
        <v>123.5</v>
      </c>
      <c r="V126">
        <v>0</v>
      </c>
      <c r="W126">
        <v>0</v>
      </c>
      <c r="X126">
        <v>0</v>
      </c>
      <c r="Y126">
        <v>538</v>
      </c>
      <c r="Z126">
        <v>0.15</v>
      </c>
      <c r="AA126">
        <v>0</v>
      </c>
      <c r="AB126">
        <v>0.15</v>
      </c>
      <c r="AC126">
        <v>0.15</v>
      </c>
      <c r="AD126">
        <v>0</v>
      </c>
      <c r="AE126">
        <v>0.15</v>
      </c>
      <c r="AF126">
        <v>31</v>
      </c>
      <c r="AG126">
        <v>23</v>
      </c>
      <c r="AH126">
        <v>8</v>
      </c>
      <c r="AI126">
        <v>2</v>
      </c>
      <c r="AJ126">
        <v>21</v>
      </c>
      <c r="AK126">
        <v>7.5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</row>
    <row r="127" spans="1:43" hidden="1" x14ac:dyDescent="0.25">
      <c r="A127" s="1">
        <v>45992</v>
      </c>
      <c r="B127" t="s">
        <v>32</v>
      </c>
      <c r="C127" t="s">
        <v>38</v>
      </c>
      <c r="D127" t="s">
        <v>38</v>
      </c>
      <c r="E127" t="s">
        <v>32</v>
      </c>
      <c r="F127" t="s">
        <v>34</v>
      </c>
      <c r="G127">
        <v>10912</v>
      </c>
      <c r="H127">
        <v>3145</v>
      </c>
      <c r="I127">
        <v>5235</v>
      </c>
      <c r="J127">
        <v>0</v>
      </c>
      <c r="K127">
        <v>5235</v>
      </c>
      <c r="L127">
        <v>598.12</v>
      </c>
      <c r="M127">
        <v>3121</v>
      </c>
      <c r="N127">
        <v>3014</v>
      </c>
      <c r="O127">
        <v>0.9657</v>
      </c>
      <c r="P127">
        <v>0.4713</v>
      </c>
      <c r="Q127">
        <v>0.52869999999999995</v>
      </c>
      <c r="R127">
        <v>0.7</v>
      </c>
      <c r="S127">
        <v>0.21</v>
      </c>
      <c r="T127">
        <v>0.03</v>
      </c>
      <c r="U127">
        <v>609.61</v>
      </c>
      <c r="V127">
        <v>0.7</v>
      </c>
      <c r="W127">
        <v>0.21</v>
      </c>
      <c r="X127">
        <v>0.03</v>
      </c>
      <c r="Y127">
        <v>598.12</v>
      </c>
      <c r="Z127">
        <v>246.27</v>
      </c>
      <c r="AA127">
        <v>276.26</v>
      </c>
      <c r="AB127">
        <v>522.52</v>
      </c>
      <c r="AC127">
        <v>409.92</v>
      </c>
      <c r="AD127">
        <v>459.85</v>
      </c>
      <c r="AE127">
        <v>869.77</v>
      </c>
      <c r="AF127">
        <v>31</v>
      </c>
      <c r="AG127">
        <v>23</v>
      </c>
      <c r="AH127">
        <v>8</v>
      </c>
      <c r="AI127">
        <v>2</v>
      </c>
      <c r="AJ127">
        <v>21</v>
      </c>
      <c r="AK127">
        <v>7.5</v>
      </c>
      <c r="AL127">
        <v>2.91</v>
      </c>
      <c r="AM127">
        <v>3.27</v>
      </c>
      <c r="AN127">
        <v>6.18</v>
      </c>
      <c r="AO127">
        <v>4.8499999999999996</v>
      </c>
      <c r="AP127">
        <v>5.44</v>
      </c>
      <c r="AQ127">
        <v>10.29</v>
      </c>
    </row>
    <row r="128" spans="1:43" hidden="1" x14ac:dyDescent="0.25">
      <c r="A128" s="1">
        <v>45992</v>
      </c>
      <c r="B128" t="s">
        <v>32</v>
      </c>
      <c r="C128" t="s">
        <v>39</v>
      </c>
      <c r="D128" t="s">
        <v>39</v>
      </c>
      <c r="E128" t="s">
        <v>32</v>
      </c>
      <c r="F128" t="s">
        <v>34</v>
      </c>
      <c r="G128">
        <v>644</v>
      </c>
      <c r="H128">
        <v>29</v>
      </c>
      <c r="I128">
        <v>119</v>
      </c>
      <c r="J128">
        <v>0</v>
      </c>
      <c r="K128">
        <v>119</v>
      </c>
      <c r="L128">
        <v>447.9</v>
      </c>
      <c r="M128">
        <v>29</v>
      </c>
      <c r="N128">
        <v>26</v>
      </c>
      <c r="O128">
        <v>0.89659999999999995</v>
      </c>
      <c r="P128">
        <v>1</v>
      </c>
      <c r="Q128">
        <v>0</v>
      </c>
      <c r="R128">
        <v>0.7</v>
      </c>
      <c r="S128">
        <v>0.21</v>
      </c>
      <c r="T128">
        <v>0.03</v>
      </c>
      <c r="U128">
        <v>535.16999999999996</v>
      </c>
      <c r="V128">
        <v>0</v>
      </c>
      <c r="W128">
        <v>0</v>
      </c>
      <c r="X128">
        <v>0</v>
      </c>
      <c r="Y128">
        <v>447.9</v>
      </c>
      <c r="Z128">
        <v>3.61</v>
      </c>
      <c r="AA128">
        <v>0</v>
      </c>
      <c r="AB128">
        <v>3.61</v>
      </c>
      <c r="AC128">
        <v>14.81</v>
      </c>
      <c r="AD128">
        <v>0</v>
      </c>
      <c r="AE128">
        <v>14.81</v>
      </c>
      <c r="AF128">
        <v>31</v>
      </c>
      <c r="AG128">
        <v>23</v>
      </c>
      <c r="AH128">
        <v>8</v>
      </c>
      <c r="AI128">
        <v>2</v>
      </c>
      <c r="AJ128">
        <v>21</v>
      </c>
      <c r="AK128">
        <v>7.5</v>
      </c>
      <c r="AL128">
        <v>0.04</v>
      </c>
      <c r="AM128">
        <v>0</v>
      </c>
      <c r="AN128">
        <v>0.04</v>
      </c>
      <c r="AO128">
        <v>0.18</v>
      </c>
      <c r="AP128">
        <v>0</v>
      </c>
      <c r="AQ128">
        <v>0.18</v>
      </c>
    </row>
    <row r="129" spans="1:43" hidden="1" x14ac:dyDescent="0.25">
      <c r="A129" s="1">
        <v>45992</v>
      </c>
      <c r="B129" t="s">
        <v>32</v>
      </c>
      <c r="C129" t="s">
        <v>40</v>
      </c>
      <c r="D129" t="s">
        <v>40</v>
      </c>
      <c r="E129" t="s">
        <v>32</v>
      </c>
      <c r="F129" t="s">
        <v>34</v>
      </c>
      <c r="G129">
        <v>81</v>
      </c>
      <c r="H129">
        <v>29</v>
      </c>
      <c r="I129">
        <v>33</v>
      </c>
      <c r="J129">
        <v>0</v>
      </c>
      <c r="K129">
        <v>33</v>
      </c>
      <c r="L129">
        <v>683.34</v>
      </c>
      <c r="M129">
        <v>29</v>
      </c>
      <c r="N129">
        <v>28</v>
      </c>
      <c r="O129">
        <v>0.96550000000000002</v>
      </c>
      <c r="P129">
        <v>0</v>
      </c>
      <c r="Q129">
        <v>1</v>
      </c>
      <c r="R129">
        <v>0.7</v>
      </c>
      <c r="S129">
        <v>0.21</v>
      </c>
      <c r="T129">
        <v>0.03</v>
      </c>
      <c r="U129">
        <v>733.32</v>
      </c>
      <c r="V129">
        <v>0.7</v>
      </c>
      <c r="W129">
        <v>0.21</v>
      </c>
      <c r="X129">
        <v>0.03</v>
      </c>
      <c r="Y129">
        <v>683.34</v>
      </c>
      <c r="Z129">
        <v>0</v>
      </c>
      <c r="AA129">
        <v>5.5</v>
      </c>
      <c r="AB129">
        <v>5.5</v>
      </c>
      <c r="AC129">
        <v>0</v>
      </c>
      <c r="AD129">
        <v>6.26</v>
      </c>
      <c r="AE129">
        <v>6.26</v>
      </c>
      <c r="AF129">
        <v>31</v>
      </c>
      <c r="AG129">
        <v>23</v>
      </c>
      <c r="AH129">
        <v>8</v>
      </c>
      <c r="AI129">
        <v>2</v>
      </c>
      <c r="AJ129">
        <v>21</v>
      </c>
      <c r="AK129">
        <v>7.5</v>
      </c>
      <c r="AL129">
        <v>0</v>
      </c>
      <c r="AM129">
        <v>7.0000000000000007E-2</v>
      </c>
      <c r="AN129">
        <v>7.0000000000000007E-2</v>
      </c>
      <c r="AO129">
        <v>0</v>
      </c>
      <c r="AP129">
        <v>7.0000000000000007E-2</v>
      </c>
      <c r="AQ129">
        <v>7.0000000000000007E-2</v>
      </c>
    </row>
    <row r="130" spans="1:43" hidden="1" x14ac:dyDescent="0.25">
      <c r="A130" s="1">
        <v>45992</v>
      </c>
      <c r="B130" t="s">
        <v>32</v>
      </c>
      <c r="C130" t="s">
        <v>41</v>
      </c>
      <c r="D130" t="s">
        <v>41</v>
      </c>
      <c r="E130" t="s">
        <v>32</v>
      </c>
      <c r="F130" t="s">
        <v>34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125</v>
      </c>
      <c r="Z130">
        <v>0</v>
      </c>
      <c r="AA130" t="s">
        <v>125</v>
      </c>
      <c r="AB130" t="s">
        <v>125</v>
      </c>
      <c r="AC130">
        <v>0</v>
      </c>
      <c r="AD130" t="s">
        <v>125</v>
      </c>
      <c r="AE130" t="s">
        <v>125</v>
      </c>
      <c r="AF130">
        <v>31</v>
      </c>
      <c r="AG130">
        <v>23</v>
      </c>
      <c r="AH130">
        <v>8</v>
      </c>
      <c r="AI130">
        <v>2</v>
      </c>
      <c r="AJ130">
        <v>21</v>
      </c>
      <c r="AK130">
        <v>7.5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</row>
    <row r="131" spans="1:43" hidden="1" x14ac:dyDescent="0.25">
      <c r="A131" s="1">
        <v>45992</v>
      </c>
      <c r="B131" t="s">
        <v>32</v>
      </c>
      <c r="C131" t="s">
        <v>42</v>
      </c>
      <c r="D131" t="s">
        <v>42</v>
      </c>
      <c r="E131" t="s">
        <v>32</v>
      </c>
      <c r="F131" t="s">
        <v>34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125</v>
      </c>
      <c r="Z131">
        <v>0</v>
      </c>
      <c r="AA131" t="s">
        <v>125</v>
      </c>
      <c r="AB131" t="s">
        <v>125</v>
      </c>
      <c r="AC131">
        <v>0</v>
      </c>
      <c r="AD131" t="s">
        <v>125</v>
      </c>
      <c r="AE131" t="s">
        <v>125</v>
      </c>
      <c r="AF131">
        <v>31</v>
      </c>
      <c r="AG131">
        <v>23</v>
      </c>
      <c r="AH131">
        <v>8</v>
      </c>
      <c r="AI131">
        <v>2</v>
      </c>
      <c r="AJ131">
        <v>21</v>
      </c>
      <c r="AK131">
        <v>7.5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</row>
    <row r="132" spans="1:43" hidden="1" x14ac:dyDescent="0.25">
      <c r="A132" s="1">
        <v>45992</v>
      </c>
      <c r="B132" t="s">
        <v>32</v>
      </c>
      <c r="C132" t="s">
        <v>43</v>
      </c>
      <c r="D132" t="s">
        <v>43</v>
      </c>
      <c r="E132" t="s">
        <v>32</v>
      </c>
      <c r="F132" t="s">
        <v>34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0.7</v>
      </c>
      <c r="S132">
        <v>0.21</v>
      </c>
      <c r="T132">
        <v>0.03</v>
      </c>
      <c r="U132">
        <v>375.81</v>
      </c>
      <c r="V132">
        <v>0</v>
      </c>
      <c r="W132">
        <v>0</v>
      </c>
      <c r="X132">
        <v>0</v>
      </c>
      <c r="Y132" t="s">
        <v>125</v>
      </c>
      <c r="Z132">
        <v>0</v>
      </c>
      <c r="AA132" t="s">
        <v>125</v>
      </c>
      <c r="AB132" t="s">
        <v>125</v>
      </c>
      <c r="AC132">
        <v>0</v>
      </c>
      <c r="AD132" t="s">
        <v>125</v>
      </c>
      <c r="AE132" t="s">
        <v>125</v>
      </c>
      <c r="AF132">
        <v>31</v>
      </c>
      <c r="AG132">
        <v>23</v>
      </c>
      <c r="AH132">
        <v>8</v>
      </c>
      <c r="AI132">
        <v>2</v>
      </c>
      <c r="AJ132">
        <v>21</v>
      </c>
      <c r="AK132">
        <v>7.5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</row>
    <row r="133" spans="1:43" hidden="1" x14ac:dyDescent="0.25">
      <c r="A133" s="1">
        <v>45992</v>
      </c>
      <c r="B133" t="s">
        <v>32</v>
      </c>
      <c r="C133" t="s">
        <v>44</v>
      </c>
      <c r="D133" t="s">
        <v>44</v>
      </c>
      <c r="E133" t="s">
        <v>32</v>
      </c>
      <c r="F133" t="s">
        <v>34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0.7</v>
      </c>
      <c r="S133">
        <v>0.21</v>
      </c>
      <c r="T133">
        <v>0.03</v>
      </c>
      <c r="U133">
        <v>0</v>
      </c>
      <c r="V133">
        <v>0</v>
      </c>
      <c r="W133">
        <v>0</v>
      </c>
      <c r="X133">
        <v>0</v>
      </c>
      <c r="Y133" t="s">
        <v>125</v>
      </c>
      <c r="Z133">
        <v>0</v>
      </c>
      <c r="AA133" t="s">
        <v>125</v>
      </c>
      <c r="AB133" t="s">
        <v>125</v>
      </c>
      <c r="AC133">
        <v>0</v>
      </c>
      <c r="AD133" t="s">
        <v>125</v>
      </c>
      <c r="AE133" t="s">
        <v>125</v>
      </c>
      <c r="AF133">
        <v>31</v>
      </c>
      <c r="AG133">
        <v>23</v>
      </c>
      <c r="AH133">
        <v>8</v>
      </c>
      <c r="AI133">
        <v>2</v>
      </c>
      <c r="AJ133">
        <v>21</v>
      </c>
      <c r="AK133">
        <v>7.5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</row>
    <row r="134" spans="1:43" hidden="1" x14ac:dyDescent="0.25">
      <c r="A134" s="1">
        <v>46023</v>
      </c>
      <c r="B134" t="s">
        <v>32</v>
      </c>
      <c r="C134" t="s">
        <v>33</v>
      </c>
      <c r="D134" t="s">
        <v>33</v>
      </c>
      <c r="E134" t="s">
        <v>32</v>
      </c>
      <c r="F134" t="s">
        <v>34</v>
      </c>
      <c r="G134">
        <v>174</v>
      </c>
      <c r="H134">
        <v>26</v>
      </c>
      <c r="I134">
        <v>26</v>
      </c>
      <c r="J134">
        <v>0</v>
      </c>
      <c r="K134">
        <v>26</v>
      </c>
      <c r="L134">
        <v>260.58</v>
      </c>
      <c r="M134">
        <v>26</v>
      </c>
      <c r="N134">
        <v>26</v>
      </c>
      <c r="O134">
        <v>1</v>
      </c>
      <c r="P134">
        <v>1</v>
      </c>
      <c r="Q134">
        <v>0</v>
      </c>
      <c r="R134">
        <v>0.7</v>
      </c>
      <c r="S134">
        <v>0.21</v>
      </c>
      <c r="T134">
        <v>0.03</v>
      </c>
      <c r="U134">
        <v>326.48</v>
      </c>
      <c r="V134">
        <v>0</v>
      </c>
      <c r="W134">
        <v>0</v>
      </c>
      <c r="X134">
        <v>0</v>
      </c>
      <c r="Y134">
        <v>260.58</v>
      </c>
      <c r="Z134">
        <v>1.88</v>
      </c>
      <c r="AA134">
        <v>0</v>
      </c>
      <c r="AB134">
        <v>1.88</v>
      </c>
      <c r="AC134">
        <v>1.88</v>
      </c>
      <c r="AD134">
        <v>0</v>
      </c>
      <c r="AE134">
        <v>1.88</v>
      </c>
      <c r="AF134">
        <v>31</v>
      </c>
      <c r="AG134">
        <v>22</v>
      </c>
      <c r="AH134">
        <v>9</v>
      </c>
      <c r="AI134">
        <v>2</v>
      </c>
      <c r="AJ134">
        <v>20</v>
      </c>
      <c r="AK134">
        <v>7.5</v>
      </c>
      <c r="AL134">
        <v>0.02</v>
      </c>
      <c r="AM134">
        <v>0</v>
      </c>
      <c r="AN134">
        <v>0.02</v>
      </c>
      <c r="AO134">
        <v>0.02</v>
      </c>
      <c r="AP134">
        <v>0</v>
      </c>
      <c r="AQ134">
        <v>0.02</v>
      </c>
    </row>
    <row r="135" spans="1:43" hidden="1" x14ac:dyDescent="0.25">
      <c r="A135" s="1">
        <v>46023</v>
      </c>
      <c r="B135" t="s">
        <v>32</v>
      </c>
      <c r="C135" t="s">
        <v>32</v>
      </c>
      <c r="D135" t="s">
        <v>32</v>
      </c>
      <c r="E135" t="s">
        <v>32</v>
      </c>
      <c r="F135" t="s">
        <v>35</v>
      </c>
      <c r="G135">
        <v>442</v>
      </c>
      <c r="H135">
        <v>164</v>
      </c>
      <c r="I135">
        <v>319</v>
      </c>
      <c r="J135">
        <v>0</v>
      </c>
      <c r="K135">
        <v>319</v>
      </c>
      <c r="L135">
        <v>1788.35</v>
      </c>
      <c r="M135">
        <v>164</v>
      </c>
      <c r="N135">
        <v>151</v>
      </c>
      <c r="O135">
        <v>0.92069999999999996</v>
      </c>
      <c r="P135">
        <v>1</v>
      </c>
      <c r="Q135">
        <v>0</v>
      </c>
      <c r="R135">
        <v>0.7</v>
      </c>
      <c r="S135">
        <v>0.21</v>
      </c>
      <c r="T135">
        <v>0.03</v>
      </c>
      <c r="U135">
        <v>1704.08</v>
      </c>
      <c r="V135">
        <v>0</v>
      </c>
      <c r="W135">
        <v>0</v>
      </c>
      <c r="X135">
        <v>0</v>
      </c>
      <c r="Y135">
        <v>1788.35</v>
      </c>
      <c r="Z135">
        <v>81.47</v>
      </c>
      <c r="AA135">
        <v>0</v>
      </c>
      <c r="AB135">
        <v>81.47</v>
      </c>
      <c r="AC135">
        <v>158.47</v>
      </c>
      <c r="AD135">
        <v>0</v>
      </c>
      <c r="AE135">
        <v>158.47</v>
      </c>
      <c r="AF135">
        <v>31</v>
      </c>
      <c r="AG135">
        <v>22</v>
      </c>
      <c r="AH135">
        <v>9</v>
      </c>
      <c r="AI135">
        <v>2</v>
      </c>
      <c r="AJ135">
        <v>20</v>
      </c>
      <c r="AK135">
        <v>7.5</v>
      </c>
      <c r="AL135">
        <v>1.01</v>
      </c>
      <c r="AM135">
        <v>0</v>
      </c>
      <c r="AN135">
        <v>1.01</v>
      </c>
      <c r="AO135">
        <v>1.97</v>
      </c>
      <c r="AP135">
        <v>0</v>
      </c>
      <c r="AQ135">
        <v>1.97</v>
      </c>
    </row>
    <row r="136" spans="1:43" hidden="1" x14ac:dyDescent="0.25">
      <c r="A136" s="1">
        <v>46023</v>
      </c>
      <c r="B136" t="s">
        <v>32</v>
      </c>
      <c r="C136" t="s">
        <v>32</v>
      </c>
      <c r="D136" t="s">
        <v>32</v>
      </c>
      <c r="E136" t="s">
        <v>32</v>
      </c>
      <c r="F136" t="s">
        <v>45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0.7</v>
      </c>
      <c r="S136">
        <v>0.21</v>
      </c>
      <c r="T136">
        <v>0.03</v>
      </c>
      <c r="U136">
        <v>1080</v>
      </c>
      <c r="V136">
        <v>0.7</v>
      </c>
      <c r="W136">
        <v>0.21</v>
      </c>
      <c r="X136">
        <v>0.03</v>
      </c>
      <c r="Y136">
        <v>1080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31</v>
      </c>
      <c r="AG136">
        <v>22</v>
      </c>
      <c r="AH136">
        <v>9</v>
      </c>
      <c r="AI136">
        <v>2</v>
      </c>
      <c r="AJ136">
        <v>20</v>
      </c>
      <c r="AK136">
        <v>7.5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</row>
    <row r="137" spans="1:43" hidden="1" x14ac:dyDescent="0.25">
      <c r="A137" s="1">
        <v>46023</v>
      </c>
      <c r="B137" t="s">
        <v>32</v>
      </c>
      <c r="C137" t="s">
        <v>36</v>
      </c>
      <c r="D137" t="s">
        <v>36</v>
      </c>
      <c r="E137" t="s">
        <v>32</v>
      </c>
      <c r="F137" t="s">
        <v>34</v>
      </c>
      <c r="G137">
        <v>6</v>
      </c>
      <c r="H137">
        <v>4</v>
      </c>
      <c r="I137">
        <v>4</v>
      </c>
      <c r="J137">
        <v>0</v>
      </c>
      <c r="K137">
        <v>4</v>
      </c>
      <c r="L137">
        <v>695</v>
      </c>
      <c r="M137">
        <v>3</v>
      </c>
      <c r="N137">
        <v>2</v>
      </c>
      <c r="O137">
        <v>0.66669999999999996</v>
      </c>
      <c r="P137">
        <v>1</v>
      </c>
      <c r="Q137">
        <v>0</v>
      </c>
      <c r="R137">
        <v>0.7</v>
      </c>
      <c r="S137">
        <v>0.21</v>
      </c>
      <c r="T137">
        <v>0.03</v>
      </c>
      <c r="U137">
        <v>430.08</v>
      </c>
      <c r="V137">
        <v>0</v>
      </c>
      <c r="W137">
        <v>0</v>
      </c>
      <c r="X137">
        <v>0</v>
      </c>
      <c r="Y137">
        <v>695</v>
      </c>
      <c r="Z137">
        <v>0.77</v>
      </c>
      <c r="AA137">
        <v>0</v>
      </c>
      <c r="AB137">
        <v>0.77</v>
      </c>
      <c r="AC137">
        <v>0.77</v>
      </c>
      <c r="AD137">
        <v>0</v>
      </c>
      <c r="AE137">
        <v>0.77</v>
      </c>
      <c r="AF137">
        <v>31</v>
      </c>
      <c r="AG137">
        <v>22</v>
      </c>
      <c r="AH137">
        <v>9</v>
      </c>
      <c r="AI137">
        <v>2</v>
      </c>
      <c r="AJ137">
        <v>20</v>
      </c>
      <c r="AK137">
        <v>7.5</v>
      </c>
      <c r="AL137">
        <v>0.01</v>
      </c>
      <c r="AM137">
        <v>0</v>
      </c>
      <c r="AN137">
        <v>0.01</v>
      </c>
      <c r="AO137">
        <v>0.01</v>
      </c>
      <c r="AP137">
        <v>0</v>
      </c>
      <c r="AQ137">
        <v>0.01</v>
      </c>
    </row>
    <row r="138" spans="1:43" hidden="1" x14ac:dyDescent="0.25">
      <c r="A138" s="1">
        <v>46023</v>
      </c>
      <c r="B138" t="s">
        <v>32</v>
      </c>
      <c r="C138" t="s">
        <v>37</v>
      </c>
      <c r="D138" t="s">
        <v>37</v>
      </c>
      <c r="E138" t="s">
        <v>32</v>
      </c>
      <c r="F138" t="s">
        <v>34</v>
      </c>
      <c r="G138">
        <v>2</v>
      </c>
      <c r="H138">
        <v>1</v>
      </c>
      <c r="I138">
        <v>0</v>
      </c>
      <c r="J138">
        <v>0</v>
      </c>
      <c r="K138">
        <v>0</v>
      </c>
      <c r="L138">
        <v>141</v>
      </c>
      <c r="M138">
        <v>1</v>
      </c>
      <c r="N138">
        <v>0</v>
      </c>
      <c r="O138">
        <v>0</v>
      </c>
      <c r="P138">
        <v>1</v>
      </c>
      <c r="Q138">
        <v>0</v>
      </c>
      <c r="R138">
        <v>0.7</v>
      </c>
      <c r="S138">
        <v>0.21</v>
      </c>
      <c r="T138">
        <v>0.03</v>
      </c>
      <c r="U138">
        <v>330.75</v>
      </c>
      <c r="V138">
        <v>0</v>
      </c>
      <c r="W138">
        <v>0</v>
      </c>
      <c r="X138">
        <v>0</v>
      </c>
      <c r="Y138">
        <v>141</v>
      </c>
      <c r="Z138">
        <v>0.04</v>
      </c>
      <c r="AA138">
        <v>0</v>
      </c>
      <c r="AB138">
        <v>0.04</v>
      </c>
      <c r="AC138">
        <v>0</v>
      </c>
      <c r="AD138">
        <v>0</v>
      </c>
      <c r="AE138">
        <v>0</v>
      </c>
      <c r="AF138">
        <v>31</v>
      </c>
      <c r="AG138">
        <v>22</v>
      </c>
      <c r="AH138">
        <v>9</v>
      </c>
      <c r="AI138">
        <v>2</v>
      </c>
      <c r="AJ138">
        <v>20</v>
      </c>
      <c r="AK138">
        <v>7.5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</row>
    <row r="139" spans="1:43" hidden="1" x14ac:dyDescent="0.25">
      <c r="A139" s="1">
        <v>46023</v>
      </c>
      <c r="B139" t="s">
        <v>32</v>
      </c>
      <c r="C139" t="s">
        <v>38</v>
      </c>
      <c r="D139" t="s">
        <v>38</v>
      </c>
      <c r="E139" t="s">
        <v>32</v>
      </c>
      <c r="F139" t="s">
        <v>34</v>
      </c>
      <c r="G139">
        <v>7152</v>
      </c>
      <c r="H139">
        <v>3540</v>
      </c>
      <c r="I139">
        <v>4986</v>
      </c>
      <c r="J139">
        <v>-1150</v>
      </c>
      <c r="K139">
        <v>3836</v>
      </c>
      <c r="L139">
        <v>617.24</v>
      </c>
      <c r="M139">
        <v>3504</v>
      </c>
      <c r="N139">
        <v>3381</v>
      </c>
      <c r="O139">
        <v>0.96489999999999998</v>
      </c>
      <c r="P139">
        <v>0.58250000000000002</v>
      </c>
      <c r="Q139">
        <v>0.41749999999999998</v>
      </c>
      <c r="R139">
        <v>0.7</v>
      </c>
      <c r="S139">
        <v>0.21</v>
      </c>
      <c r="T139">
        <v>0.03</v>
      </c>
      <c r="U139">
        <v>602.5</v>
      </c>
      <c r="V139">
        <v>0.7</v>
      </c>
      <c r="W139">
        <v>0.21</v>
      </c>
      <c r="X139">
        <v>0.03</v>
      </c>
      <c r="Y139">
        <v>617.24</v>
      </c>
      <c r="Z139">
        <v>353.55</v>
      </c>
      <c r="AA139">
        <v>253.4</v>
      </c>
      <c r="AB139">
        <v>606.95000000000005</v>
      </c>
      <c r="AC139">
        <v>383.11</v>
      </c>
      <c r="AD139">
        <v>274.58999999999997</v>
      </c>
      <c r="AE139">
        <v>657.7</v>
      </c>
      <c r="AF139">
        <v>31</v>
      </c>
      <c r="AG139">
        <v>22</v>
      </c>
      <c r="AH139">
        <v>9</v>
      </c>
      <c r="AI139">
        <v>2</v>
      </c>
      <c r="AJ139">
        <v>20</v>
      </c>
      <c r="AK139">
        <v>7.5</v>
      </c>
      <c r="AL139">
        <v>4.3899999999999997</v>
      </c>
      <c r="AM139">
        <v>3.15</v>
      </c>
      <c r="AN139">
        <v>7.5399999999999903</v>
      </c>
      <c r="AO139">
        <v>4.76</v>
      </c>
      <c r="AP139">
        <v>3.41</v>
      </c>
      <c r="AQ139">
        <v>8.17</v>
      </c>
    </row>
    <row r="140" spans="1:43" hidden="1" x14ac:dyDescent="0.25">
      <c r="A140" s="1">
        <v>46023</v>
      </c>
      <c r="B140" t="s">
        <v>32</v>
      </c>
      <c r="C140" t="s">
        <v>39</v>
      </c>
      <c r="D140" t="s">
        <v>39</v>
      </c>
      <c r="E140" t="s">
        <v>32</v>
      </c>
      <c r="F140" t="s">
        <v>34</v>
      </c>
      <c r="G140">
        <v>719</v>
      </c>
      <c r="H140">
        <v>57</v>
      </c>
      <c r="I140">
        <v>114</v>
      </c>
      <c r="J140">
        <v>0</v>
      </c>
      <c r="K140">
        <v>114</v>
      </c>
      <c r="L140">
        <v>401.09</v>
      </c>
      <c r="M140">
        <v>57</v>
      </c>
      <c r="N140">
        <v>48</v>
      </c>
      <c r="O140">
        <v>0.84209999999999996</v>
      </c>
      <c r="P140">
        <v>1</v>
      </c>
      <c r="Q140">
        <v>0</v>
      </c>
      <c r="R140">
        <v>0.7</v>
      </c>
      <c r="S140">
        <v>0.21</v>
      </c>
      <c r="T140">
        <v>0.03</v>
      </c>
      <c r="U140">
        <v>489.47</v>
      </c>
      <c r="V140">
        <v>0</v>
      </c>
      <c r="W140">
        <v>0</v>
      </c>
      <c r="X140">
        <v>0</v>
      </c>
      <c r="Y140">
        <v>401.09</v>
      </c>
      <c r="Z140">
        <v>6.35</v>
      </c>
      <c r="AA140">
        <v>0</v>
      </c>
      <c r="AB140">
        <v>6.35</v>
      </c>
      <c r="AC140">
        <v>12.7</v>
      </c>
      <c r="AD140">
        <v>0</v>
      </c>
      <c r="AE140">
        <v>12.7</v>
      </c>
      <c r="AF140">
        <v>31</v>
      </c>
      <c r="AG140">
        <v>22</v>
      </c>
      <c r="AH140">
        <v>9</v>
      </c>
      <c r="AI140">
        <v>2</v>
      </c>
      <c r="AJ140">
        <v>20</v>
      </c>
      <c r="AK140">
        <v>7.5</v>
      </c>
      <c r="AL140">
        <v>0.08</v>
      </c>
      <c r="AM140">
        <v>0</v>
      </c>
      <c r="AN140">
        <v>0.08</v>
      </c>
      <c r="AO140">
        <v>0.16</v>
      </c>
      <c r="AP140">
        <v>0</v>
      </c>
      <c r="AQ140">
        <v>0.16</v>
      </c>
    </row>
    <row r="141" spans="1:43" hidden="1" x14ac:dyDescent="0.25">
      <c r="A141" s="1">
        <v>46023</v>
      </c>
      <c r="B141" t="s">
        <v>32</v>
      </c>
      <c r="C141" t="s">
        <v>40</v>
      </c>
      <c r="D141" t="s">
        <v>40</v>
      </c>
      <c r="E141" t="s">
        <v>32</v>
      </c>
      <c r="F141" t="s">
        <v>34</v>
      </c>
      <c r="G141">
        <v>57</v>
      </c>
      <c r="H141">
        <v>38</v>
      </c>
      <c r="I141">
        <v>31</v>
      </c>
      <c r="J141">
        <v>0</v>
      </c>
      <c r="K141">
        <v>31</v>
      </c>
      <c r="L141">
        <v>774.18</v>
      </c>
      <c r="M141">
        <v>38</v>
      </c>
      <c r="N141">
        <v>35</v>
      </c>
      <c r="O141">
        <v>0.92110000000000003</v>
      </c>
      <c r="P141">
        <v>0.23680000000000001</v>
      </c>
      <c r="Q141">
        <v>0.76319999999999999</v>
      </c>
      <c r="R141">
        <v>0.7</v>
      </c>
      <c r="S141">
        <v>0.21</v>
      </c>
      <c r="T141">
        <v>0.03</v>
      </c>
      <c r="U141">
        <v>713.83</v>
      </c>
      <c r="V141">
        <v>0.7</v>
      </c>
      <c r="W141">
        <v>0.21</v>
      </c>
      <c r="X141">
        <v>0.03</v>
      </c>
      <c r="Y141">
        <v>774.18</v>
      </c>
      <c r="Z141">
        <v>1.94</v>
      </c>
      <c r="AA141">
        <v>6.24</v>
      </c>
      <c r="AB141">
        <v>8.17</v>
      </c>
      <c r="AC141">
        <v>1.58</v>
      </c>
      <c r="AD141">
        <v>5.09</v>
      </c>
      <c r="AE141">
        <v>6.67</v>
      </c>
      <c r="AF141">
        <v>31</v>
      </c>
      <c r="AG141">
        <v>22</v>
      </c>
      <c r="AH141">
        <v>9</v>
      </c>
      <c r="AI141">
        <v>2</v>
      </c>
      <c r="AJ141">
        <v>20</v>
      </c>
      <c r="AK141">
        <v>7.5</v>
      </c>
      <c r="AL141">
        <v>0.02</v>
      </c>
      <c r="AM141">
        <v>0.08</v>
      </c>
      <c r="AN141">
        <v>0.1</v>
      </c>
      <c r="AO141">
        <v>0.02</v>
      </c>
      <c r="AP141">
        <v>0.06</v>
      </c>
      <c r="AQ141">
        <v>0.08</v>
      </c>
    </row>
    <row r="142" spans="1:43" hidden="1" x14ac:dyDescent="0.25">
      <c r="A142" s="1">
        <v>46023</v>
      </c>
      <c r="B142" t="s">
        <v>32</v>
      </c>
      <c r="C142" t="s">
        <v>41</v>
      </c>
      <c r="D142" t="s">
        <v>41</v>
      </c>
      <c r="E142" t="s">
        <v>32</v>
      </c>
      <c r="F142" t="s">
        <v>34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125</v>
      </c>
      <c r="Z142">
        <v>0</v>
      </c>
      <c r="AA142" t="s">
        <v>125</v>
      </c>
      <c r="AB142" t="s">
        <v>125</v>
      </c>
      <c r="AC142">
        <v>0</v>
      </c>
      <c r="AD142" t="s">
        <v>125</v>
      </c>
      <c r="AE142" t="s">
        <v>125</v>
      </c>
      <c r="AF142">
        <v>31</v>
      </c>
      <c r="AG142">
        <v>22</v>
      </c>
      <c r="AH142">
        <v>9</v>
      </c>
      <c r="AI142">
        <v>2</v>
      </c>
      <c r="AJ142">
        <v>20</v>
      </c>
      <c r="AK142">
        <v>7.5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</row>
    <row r="143" spans="1:43" hidden="1" x14ac:dyDescent="0.25">
      <c r="A143" s="1">
        <v>46023</v>
      </c>
      <c r="B143" t="s">
        <v>32</v>
      </c>
      <c r="C143" t="s">
        <v>42</v>
      </c>
      <c r="D143" t="s">
        <v>42</v>
      </c>
      <c r="E143" t="s">
        <v>32</v>
      </c>
      <c r="F143" t="s">
        <v>34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 t="s">
        <v>125</v>
      </c>
      <c r="Z143">
        <v>0</v>
      </c>
      <c r="AA143" t="s">
        <v>125</v>
      </c>
      <c r="AB143" t="s">
        <v>125</v>
      </c>
      <c r="AC143">
        <v>0</v>
      </c>
      <c r="AD143" t="s">
        <v>125</v>
      </c>
      <c r="AE143" t="s">
        <v>125</v>
      </c>
      <c r="AF143">
        <v>31</v>
      </c>
      <c r="AG143">
        <v>22</v>
      </c>
      <c r="AH143">
        <v>9</v>
      </c>
      <c r="AI143">
        <v>2</v>
      </c>
      <c r="AJ143">
        <v>20</v>
      </c>
      <c r="AK143">
        <v>7.5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</row>
    <row r="144" spans="1:43" hidden="1" x14ac:dyDescent="0.25">
      <c r="A144" s="1">
        <v>46023</v>
      </c>
      <c r="B144" t="s">
        <v>32</v>
      </c>
      <c r="C144" t="s">
        <v>43</v>
      </c>
      <c r="D144" t="s">
        <v>43</v>
      </c>
      <c r="E144" t="s">
        <v>32</v>
      </c>
      <c r="F144" t="s">
        <v>34</v>
      </c>
      <c r="G144">
        <v>3</v>
      </c>
      <c r="H144">
        <v>4</v>
      </c>
      <c r="I144">
        <v>1</v>
      </c>
      <c r="J144">
        <v>0</v>
      </c>
      <c r="K144">
        <v>1</v>
      </c>
      <c r="L144">
        <v>492.67</v>
      </c>
      <c r="M144">
        <v>3</v>
      </c>
      <c r="N144">
        <v>3</v>
      </c>
      <c r="O144">
        <v>1</v>
      </c>
      <c r="P144">
        <v>1</v>
      </c>
      <c r="Q144">
        <v>0</v>
      </c>
      <c r="R144">
        <v>0.7</v>
      </c>
      <c r="S144">
        <v>0.21</v>
      </c>
      <c r="T144">
        <v>0.03</v>
      </c>
      <c r="U144">
        <v>342.21</v>
      </c>
      <c r="V144">
        <v>0</v>
      </c>
      <c r="W144">
        <v>0</v>
      </c>
      <c r="X144">
        <v>0</v>
      </c>
      <c r="Y144">
        <v>492.67</v>
      </c>
      <c r="Z144">
        <v>0.55000000000000004</v>
      </c>
      <c r="AA144">
        <v>0</v>
      </c>
      <c r="AB144">
        <v>0.55000000000000004</v>
      </c>
      <c r="AC144">
        <v>0.14000000000000001</v>
      </c>
      <c r="AD144">
        <v>0</v>
      </c>
      <c r="AE144">
        <v>0.14000000000000001</v>
      </c>
      <c r="AF144">
        <v>31</v>
      </c>
      <c r="AG144">
        <v>22</v>
      </c>
      <c r="AH144">
        <v>9</v>
      </c>
      <c r="AI144">
        <v>2</v>
      </c>
      <c r="AJ144">
        <v>20</v>
      </c>
      <c r="AK144">
        <v>7.5</v>
      </c>
      <c r="AL144">
        <v>0.01</v>
      </c>
      <c r="AM144">
        <v>0</v>
      </c>
      <c r="AN144">
        <v>0.01</v>
      </c>
      <c r="AO144">
        <v>0</v>
      </c>
      <c r="AP144">
        <v>0</v>
      </c>
      <c r="AQ144">
        <v>0</v>
      </c>
    </row>
    <row r="145" spans="1:43" hidden="1" x14ac:dyDescent="0.25">
      <c r="A145" s="1">
        <v>46023</v>
      </c>
      <c r="B145" t="s">
        <v>32</v>
      </c>
      <c r="C145" t="s">
        <v>44</v>
      </c>
      <c r="D145" t="s">
        <v>44</v>
      </c>
      <c r="E145" t="s">
        <v>32</v>
      </c>
      <c r="F145" t="s">
        <v>34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</v>
      </c>
      <c r="Q145">
        <v>0</v>
      </c>
      <c r="R145">
        <v>0.7</v>
      </c>
      <c r="S145">
        <v>0.21</v>
      </c>
      <c r="T145">
        <v>0.03</v>
      </c>
      <c r="U145">
        <v>0</v>
      </c>
      <c r="V145">
        <v>0</v>
      </c>
      <c r="W145">
        <v>0</v>
      </c>
      <c r="X145">
        <v>0</v>
      </c>
      <c r="Y145" t="s">
        <v>125</v>
      </c>
      <c r="Z145">
        <v>0</v>
      </c>
      <c r="AA145" t="s">
        <v>125</v>
      </c>
      <c r="AB145" t="s">
        <v>125</v>
      </c>
      <c r="AC145">
        <v>0</v>
      </c>
      <c r="AD145" t="s">
        <v>125</v>
      </c>
      <c r="AE145" t="s">
        <v>125</v>
      </c>
      <c r="AF145">
        <v>31</v>
      </c>
      <c r="AG145">
        <v>22</v>
      </c>
      <c r="AH145">
        <v>9</v>
      </c>
      <c r="AI145">
        <v>2</v>
      </c>
      <c r="AJ145">
        <v>20</v>
      </c>
      <c r="AK145">
        <v>7.5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</row>
    <row r="146" spans="1:43" hidden="1" x14ac:dyDescent="0.25">
      <c r="A146" s="1">
        <v>46054</v>
      </c>
      <c r="B146" t="s">
        <v>32</v>
      </c>
      <c r="C146" t="s">
        <v>33</v>
      </c>
      <c r="D146" t="s">
        <v>33</v>
      </c>
      <c r="E146" t="s">
        <v>32</v>
      </c>
      <c r="F146" t="s">
        <v>34</v>
      </c>
      <c r="G146">
        <v>40</v>
      </c>
      <c r="H146">
        <v>34</v>
      </c>
      <c r="I146">
        <v>22</v>
      </c>
      <c r="J146">
        <v>0</v>
      </c>
      <c r="K146">
        <v>22</v>
      </c>
      <c r="L146">
        <v>238.06</v>
      </c>
      <c r="M146">
        <v>34</v>
      </c>
      <c r="N146">
        <v>34</v>
      </c>
      <c r="O146">
        <v>1</v>
      </c>
      <c r="P146">
        <v>1</v>
      </c>
      <c r="Q146">
        <v>0</v>
      </c>
      <c r="R146">
        <v>0.7</v>
      </c>
      <c r="S146">
        <v>0.21</v>
      </c>
      <c r="T146">
        <v>0.03</v>
      </c>
      <c r="U146">
        <v>304.07</v>
      </c>
      <c r="V146">
        <v>0</v>
      </c>
      <c r="W146">
        <v>0</v>
      </c>
      <c r="X146">
        <v>0</v>
      </c>
      <c r="Y146">
        <v>238.06</v>
      </c>
      <c r="Z146">
        <v>2.25</v>
      </c>
      <c r="AA146">
        <v>0</v>
      </c>
      <c r="AB146">
        <v>2.25</v>
      </c>
      <c r="AC146">
        <v>1.45</v>
      </c>
      <c r="AD146">
        <v>0</v>
      </c>
      <c r="AE146">
        <v>1.45</v>
      </c>
      <c r="AF146">
        <v>28</v>
      </c>
      <c r="AG146">
        <v>20</v>
      </c>
      <c r="AH146">
        <v>8</v>
      </c>
      <c r="AI146">
        <v>1</v>
      </c>
      <c r="AJ146">
        <v>19</v>
      </c>
      <c r="AK146">
        <v>7.5</v>
      </c>
      <c r="AL146">
        <v>0.03</v>
      </c>
      <c r="AM146">
        <v>0</v>
      </c>
      <c r="AN146">
        <v>0.03</v>
      </c>
      <c r="AO146">
        <v>0.02</v>
      </c>
      <c r="AP146">
        <v>0</v>
      </c>
      <c r="AQ146">
        <v>0.02</v>
      </c>
    </row>
    <row r="147" spans="1:43" hidden="1" x14ac:dyDescent="0.25">
      <c r="A147" s="1">
        <v>46054</v>
      </c>
      <c r="B147" t="s">
        <v>32</v>
      </c>
      <c r="C147" t="s">
        <v>32</v>
      </c>
      <c r="D147" t="s">
        <v>32</v>
      </c>
      <c r="E147" t="s">
        <v>32</v>
      </c>
      <c r="F147" t="s">
        <v>35</v>
      </c>
      <c r="G147">
        <v>368</v>
      </c>
      <c r="H147">
        <v>164</v>
      </c>
      <c r="I147">
        <v>142</v>
      </c>
      <c r="J147">
        <v>0</v>
      </c>
      <c r="K147">
        <v>142</v>
      </c>
      <c r="L147">
        <v>1345.79</v>
      </c>
      <c r="M147">
        <v>164</v>
      </c>
      <c r="N147">
        <v>149</v>
      </c>
      <c r="O147">
        <v>0.90849999999999997</v>
      </c>
      <c r="P147">
        <v>1</v>
      </c>
      <c r="Q147">
        <v>0</v>
      </c>
      <c r="R147">
        <v>0.7</v>
      </c>
      <c r="S147">
        <v>0.21</v>
      </c>
      <c r="T147">
        <v>0.03</v>
      </c>
      <c r="U147">
        <v>1880.54</v>
      </c>
      <c r="V147">
        <v>0</v>
      </c>
      <c r="W147">
        <v>0</v>
      </c>
      <c r="X147">
        <v>0</v>
      </c>
      <c r="Y147">
        <v>1345.79</v>
      </c>
      <c r="Z147">
        <v>61.31</v>
      </c>
      <c r="AA147">
        <v>0</v>
      </c>
      <c r="AB147">
        <v>61.31</v>
      </c>
      <c r="AC147">
        <v>53.08</v>
      </c>
      <c r="AD147">
        <v>0</v>
      </c>
      <c r="AE147">
        <v>53.08</v>
      </c>
      <c r="AF147">
        <v>28</v>
      </c>
      <c r="AG147">
        <v>20</v>
      </c>
      <c r="AH147">
        <v>8</v>
      </c>
      <c r="AI147">
        <v>1</v>
      </c>
      <c r="AJ147">
        <v>19</v>
      </c>
      <c r="AK147">
        <v>7.5</v>
      </c>
      <c r="AL147">
        <v>0.8</v>
      </c>
      <c r="AM147">
        <v>0</v>
      </c>
      <c r="AN147">
        <v>0.8</v>
      </c>
      <c r="AO147">
        <v>0.69</v>
      </c>
      <c r="AP147">
        <v>0</v>
      </c>
      <c r="AQ147">
        <v>0.69</v>
      </c>
    </row>
    <row r="148" spans="1:43" hidden="1" x14ac:dyDescent="0.25">
      <c r="A148" s="1">
        <v>46054</v>
      </c>
      <c r="B148" t="s">
        <v>32</v>
      </c>
      <c r="C148" t="s">
        <v>32</v>
      </c>
      <c r="D148" t="s">
        <v>32</v>
      </c>
      <c r="E148" t="s">
        <v>32</v>
      </c>
      <c r="F148" t="s">
        <v>45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0.7</v>
      </c>
      <c r="S148">
        <v>0.21</v>
      </c>
      <c r="T148">
        <v>0.03</v>
      </c>
      <c r="U148">
        <v>1080</v>
      </c>
      <c r="V148">
        <v>0.7</v>
      </c>
      <c r="W148">
        <v>0.21</v>
      </c>
      <c r="X148">
        <v>0.03</v>
      </c>
      <c r="Y148">
        <v>1080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28</v>
      </c>
      <c r="AG148">
        <v>20</v>
      </c>
      <c r="AH148">
        <v>8</v>
      </c>
      <c r="AI148">
        <v>1</v>
      </c>
      <c r="AJ148">
        <v>19</v>
      </c>
      <c r="AK148">
        <v>7.5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</row>
    <row r="149" spans="1:43" hidden="1" x14ac:dyDescent="0.25">
      <c r="A149" s="1">
        <v>46054</v>
      </c>
      <c r="B149" t="s">
        <v>32</v>
      </c>
      <c r="C149" t="s">
        <v>36</v>
      </c>
      <c r="D149" t="s">
        <v>36</v>
      </c>
      <c r="E149" t="s">
        <v>32</v>
      </c>
      <c r="F149" t="s">
        <v>34</v>
      </c>
      <c r="G149">
        <v>7</v>
      </c>
      <c r="H149">
        <v>2</v>
      </c>
      <c r="I149">
        <v>4</v>
      </c>
      <c r="J149">
        <v>0</v>
      </c>
      <c r="K149">
        <v>4</v>
      </c>
      <c r="L149">
        <v>257.5</v>
      </c>
      <c r="M149">
        <v>2</v>
      </c>
      <c r="N149">
        <v>1</v>
      </c>
      <c r="O149">
        <v>0.5</v>
      </c>
      <c r="P149">
        <v>1</v>
      </c>
      <c r="Q149">
        <v>0</v>
      </c>
      <c r="R149">
        <v>0.7</v>
      </c>
      <c r="S149">
        <v>0.21</v>
      </c>
      <c r="T149">
        <v>0.03</v>
      </c>
      <c r="U149">
        <v>481.31</v>
      </c>
      <c r="V149">
        <v>0</v>
      </c>
      <c r="W149">
        <v>0</v>
      </c>
      <c r="X149">
        <v>0</v>
      </c>
      <c r="Y149">
        <v>257.5</v>
      </c>
      <c r="Z149">
        <v>0.14000000000000001</v>
      </c>
      <c r="AA149">
        <v>0</v>
      </c>
      <c r="AB149">
        <v>0.14000000000000001</v>
      </c>
      <c r="AC149">
        <v>0.28999999999999998</v>
      </c>
      <c r="AD149">
        <v>0</v>
      </c>
      <c r="AE149">
        <v>0.28999999999999998</v>
      </c>
      <c r="AF149">
        <v>28</v>
      </c>
      <c r="AG149">
        <v>20</v>
      </c>
      <c r="AH149">
        <v>8</v>
      </c>
      <c r="AI149">
        <v>1</v>
      </c>
      <c r="AJ149">
        <v>19</v>
      </c>
      <c r="AK149">
        <v>7.5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</row>
    <row r="150" spans="1:43" hidden="1" x14ac:dyDescent="0.25">
      <c r="A150" s="1">
        <v>46054</v>
      </c>
      <c r="B150" t="s">
        <v>32</v>
      </c>
      <c r="C150" t="s">
        <v>37</v>
      </c>
      <c r="D150" t="s">
        <v>37</v>
      </c>
      <c r="E150" t="s">
        <v>32</v>
      </c>
      <c r="F150" t="s">
        <v>34</v>
      </c>
      <c r="G150">
        <v>3</v>
      </c>
      <c r="H150">
        <v>1</v>
      </c>
      <c r="I150">
        <v>0</v>
      </c>
      <c r="J150">
        <v>0</v>
      </c>
      <c r="K150">
        <v>0</v>
      </c>
      <c r="L150">
        <v>219</v>
      </c>
      <c r="M150">
        <v>1</v>
      </c>
      <c r="N150">
        <v>1</v>
      </c>
      <c r="O150">
        <v>1</v>
      </c>
      <c r="P150">
        <v>1</v>
      </c>
      <c r="Q150">
        <v>0</v>
      </c>
      <c r="R150">
        <v>0.7</v>
      </c>
      <c r="S150">
        <v>0.21</v>
      </c>
      <c r="T150">
        <v>0.03</v>
      </c>
      <c r="U150">
        <v>339.5</v>
      </c>
      <c r="V150">
        <v>0</v>
      </c>
      <c r="W150">
        <v>0</v>
      </c>
      <c r="X150">
        <v>0</v>
      </c>
      <c r="Y150">
        <v>219</v>
      </c>
      <c r="Z150">
        <v>0.06</v>
      </c>
      <c r="AA150">
        <v>0</v>
      </c>
      <c r="AB150">
        <v>0.06</v>
      </c>
      <c r="AC150">
        <v>0</v>
      </c>
      <c r="AD150">
        <v>0</v>
      </c>
      <c r="AE150">
        <v>0</v>
      </c>
      <c r="AF150">
        <v>28</v>
      </c>
      <c r="AG150">
        <v>20</v>
      </c>
      <c r="AH150">
        <v>8</v>
      </c>
      <c r="AI150">
        <v>1</v>
      </c>
      <c r="AJ150">
        <v>19</v>
      </c>
      <c r="AK150">
        <v>7.5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</row>
    <row r="151" spans="1:43" hidden="1" x14ac:dyDescent="0.25">
      <c r="A151" s="1">
        <v>46054</v>
      </c>
      <c r="B151" t="s">
        <v>32</v>
      </c>
      <c r="C151" t="s">
        <v>38</v>
      </c>
      <c r="D151" t="s">
        <v>38</v>
      </c>
      <c r="E151" t="s">
        <v>32</v>
      </c>
      <c r="F151" t="s">
        <v>34</v>
      </c>
      <c r="G151">
        <v>5224</v>
      </c>
      <c r="H151">
        <v>3092</v>
      </c>
      <c r="I151">
        <v>3781</v>
      </c>
      <c r="J151">
        <v>-503</v>
      </c>
      <c r="K151">
        <v>3278</v>
      </c>
      <c r="L151">
        <v>591.70000000000005</v>
      </c>
      <c r="M151">
        <v>3033</v>
      </c>
      <c r="N151">
        <v>2913</v>
      </c>
      <c r="O151">
        <v>0.96040000000000003</v>
      </c>
      <c r="P151">
        <v>0.54010000000000002</v>
      </c>
      <c r="Q151">
        <v>0.45989999999999998</v>
      </c>
      <c r="R151">
        <v>0.7</v>
      </c>
      <c r="S151">
        <v>0.21</v>
      </c>
      <c r="T151">
        <v>0.03</v>
      </c>
      <c r="U151">
        <v>610.74</v>
      </c>
      <c r="V151">
        <v>0.7</v>
      </c>
      <c r="W151">
        <v>0.21</v>
      </c>
      <c r="X151">
        <v>0.03</v>
      </c>
      <c r="Y151">
        <v>591.70000000000005</v>
      </c>
      <c r="Z151">
        <v>274.48</v>
      </c>
      <c r="AA151">
        <v>233.72</v>
      </c>
      <c r="AB151">
        <v>508.2</v>
      </c>
      <c r="AC151">
        <v>290.99</v>
      </c>
      <c r="AD151">
        <v>247.78</v>
      </c>
      <c r="AE151">
        <v>538.78</v>
      </c>
      <c r="AF151">
        <v>28</v>
      </c>
      <c r="AG151">
        <v>20</v>
      </c>
      <c r="AH151">
        <v>8</v>
      </c>
      <c r="AI151">
        <v>1</v>
      </c>
      <c r="AJ151">
        <v>19</v>
      </c>
      <c r="AK151">
        <v>7.5</v>
      </c>
      <c r="AL151">
        <v>3.59</v>
      </c>
      <c r="AM151">
        <v>3.05</v>
      </c>
      <c r="AN151">
        <v>6.64</v>
      </c>
      <c r="AO151">
        <v>3.8</v>
      </c>
      <c r="AP151">
        <v>3.24</v>
      </c>
      <c r="AQ151">
        <v>7.04</v>
      </c>
    </row>
    <row r="152" spans="1:43" hidden="1" x14ac:dyDescent="0.25">
      <c r="A152" s="1">
        <v>46054</v>
      </c>
      <c r="B152" t="s">
        <v>32</v>
      </c>
      <c r="C152" t="s">
        <v>39</v>
      </c>
      <c r="D152" t="s">
        <v>39</v>
      </c>
      <c r="E152" t="s">
        <v>32</v>
      </c>
      <c r="F152" t="s">
        <v>34</v>
      </c>
      <c r="G152">
        <v>163</v>
      </c>
      <c r="H152">
        <v>19</v>
      </c>
      <c r="I152">
        <v>105</v>
      </c>
      <c r="J152">
        <v>0</v>
      </c>
      <c r="K152">
        <v>105</v>
      </c>
      <c r="L152">
        <v>538.63</v>
      </c>
      <c r="M152">
        <v>19</v>
      </c>
      <c r="N152">
        <v>17</v>
      </c>
      <c r="O152">
        <v>0.89470000000000005</v>
      </c>
      <c r="P152">
        <v>1</v>
      </c>
      <c r="Q152">
        <v>0</v>
      </c>
      <c r="R152">
        <v>0.7</v>
      </c>
      <c r="S152">
        <v>0.21</v>
      </c>
      <c r="T152">
        <v>0.03</v>
      </c>
      <c r="U152">
        <v>446.44</v>
      </c>
      <c r="V152">
        <v>0</v>
      </c>
      <c r="W152">
        <v>0</v>
      </c>
      <c r="X152">
        <v>0</v>
      </c>
      <c r="Y152">
        <v>538.63</v>
      </c>
      <c r="Z152">
        <v>2.84</v>
      </c>
      <c r="AA152">
        <v>0</v>
      </c>
      <c r="AB152">
        <v>2.84</v>
      </c>
      <c r="AC152">
        <v>15.71</v>
      </c>
      <c r="AD152">
        <v>0</v>
      </c>
      <c r="AE152">
        <v>15.71</v>
      </c>
      <c r="AF152">
        <v>28</v>
      </c>
      <c r="AG152">
        <v>20</v>
      </c>
      <c r="AH152">
        <v>8</v>
      </c>
      <c r="AI152">
        <v>1</v>
      </c>
      <c r="AJ152">
        <v>19</v>
      </c>
      <c r="AK152">
        <v>7.5</v>
      </c>
      <c r="AL152">
        <v>0.04</v>
      </c>
      <c r="AM152">
        <v>0</v>
      </c>
      <c r="AN152">
        <v>0.04</v>
      </c>
      <c r="AO152">
        <v>0.21</v>
      </c>
      <c r="AP152">
        <v>0</v>
      </c>
      <c r="AQ152">
        <v>0.21</v>
      </c>
    </row>
    <row r="153" spans="1:43" hidden="1" x14ac:dyDescent="0.25">
      <c r="A153" s="1">
        <v>46054</v>
      </c>
      <c r="B153" t="s">
        <v>32</v>
      </c>
      <c r="C153" t="s">
        <v>40</v>
      </c>
      <c r="D153" t="s">
        <v>40</v>
      </c>
      <c r="E153" t="s">
        <v>32</v>
      </c>
      <c r="F153" t="s">
        <v>34</v>
      </c>
      <c r="G153">
        <v>43</v>
      </c>
      <c r="H153">
        <v>49</v>
      </c>
      <c r="I153">
        <v>37</v>
      </c>
      <c r="J153">
        <v>0</v>
      </c>
      <c r="K153">
        <v>37</v>
      </c>
      <c r="L153">
        <v>502.94</v>
      </c>
      <c r="M153">
        <v>48</v>
      </c>
      <c r="N153">
        <v>46</v>
      </c>
      <c r="O153">
        <v>0.95830000000000004</v>
      </c>
      <c r="P153">
        <v>6.25E-2</v>
      </c>
      <c r="Q153">
        <v>0.9375</v>
      </c>
      <c r="R153">
        <v>0.7</v>
      </c>
      <c r="S153">
        <v>0.21</v>
      </c>
      <c r="T153">
        <v>0.03</v>
      </c>
      <c r="U153">
        <v>731.78</v>
      </c>
      <c r="V153">
        <v>0.7</v>
      </c>
      <c r="W153">
        <v>0.21</v>
      </c>
      <c r="X153">
        <v>0.03</v>
      </c>
      <c r="Y153">
        <v>502.94</v>
      </c>
      <c r="Z153">
        <v>0.43</v>
      </c>
      <c r="AA153">
        <v>6.42</v>
      </c>
      <c r="AB153">
        <v>6.85</v>
      </c>
      <c r="AC153">
        <v>0.32</v>
      </c>
      <c r="AD153">
        <v>4.8499999999999996</v>
      </c>
      <c r="AE153">
        <v>5.17</v>
      </c>
      <c r="AF153">
        <v>28</v>
      </c>
      <c r="AG153">
        <v>20</v>
      </c>
      <c r="AH153">
        <v>8</v>
      </c>
      <c r="AI153">
        <v>1</v>
      </c>
      <c r="AJ153">
        <v>19</v>
      </c>
      <c r="AK153">
        <v>7.5</v>
      </c>
      <c r="AL153">
        <v>0.01</v>
      </c>
      <c r="AM153">
        <v>0.08</v>
      </c>
      <c r="AN153">
        <v>0.09</v>
      </c>
      <c r="AO153">
        <v>0</v>
      </c>
      <c r="AP153">
        <v>0.06</v>
      </c>
      <c r="AQ153">
        <v>0.06</v>
      </c>
    </row>
    <row r="154" spans="1:43" hidden="1" x14ac:dyDescent="0.25">
      <c r="A154" s="1">
        <v>46054</v>
      </c>
      <c r="B154" t="s">
        <v>32</v>
      </c>
      <c r="C154" t="s">
        <v>41</v>
      </c>
      <c r="D154" t="s">
        <v>41</v>
      </c>
      <c r="E154" t="s">
        <v>32</v>
      </c>
      <c r="F154" t="s">
        <v>34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 t="s">
        <v>125</v>
      </c>
      <c r="Z154">
        <v>0</v>
      </c>
      <c r="AA154" t="s">
        <v>125</v>
      </c>
      <c r="AB154" t="s">
        <v>125</v>
      </c>
      <c r="AC154">
        <v>0</v>
      </c>
      <c r="AD154" t="s">
        <v>125</v>
      </c>
      <c r="AE154" t="s">
        <v>125</v>
      </c>
      <c r="AF154">
        <v>28</v>
      </c>
      <c r="AG154">
        <v>20</v>
      </c>
      <c r="AH154">
        <v>8</v>
      </c>
      <c r="AI154">
        <v>1</v>
      </c>
      <c r="AJ154">
        <v>19</v>
      </c>
      <c r="AK154">
        <v>7.5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</row>
    <row r="155" spans="1:43" hidden="1" x14ac:dyDescent="0.25">
      <c r="A155" s="1">
        <v>46054</v>
      </c>
      <c r="B155" t="s">
        <v>32</v>
      </c>
      <c r="C155" t="s">
        <v>42</v>
      </c>
      <c r="D155" t="s">
        <v>42</v>
      </c>
      <c r="E155" t="s">
        <v>32</v>
      </c>
      <c r="F155" t="s">
        <v>34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 t="s">
        <v>125</v>
      </c>
      <c r="Z155">
        <v>0</v>
      </c>
      <c r="AA155" t="s">
        <v>125</v>
      </c>
      <c r="AB155" t="s">
        <v>125</v>
      </c>
      <c r="AC155">
        <v>0</v>
      </c>
      <c r="AD155" t="s">
        <v>125</v>
      </c>
      <c r="AE155" t="s">
        <v>125</v>
      </c>
      <c r="AF155">
        <v>28</v>
      </c>
      <c r="AG155">
        <v>20</v>
      </c>
      <c r="AH155">
        <v>8</v>
      </c>
      <c r="AI155">
        <v>1</v>
      </c>
      <c r="AJ155">
        <v>19</v>
      </c>
      <c r="AK155">
        <v>7.5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</row>
    <row r="156" spans="1:43" hidden="1" x14ac:dyDescent="0.25">
      <c r="A156" s="1">
        <v>46054</v>
      </c>
      <c r="B156" t="s">
        <v>32</v>
      </c>
      <c r="C156" t="s">
        <v>43</v>
      </c>
      <c r="D156" t="s">
        <v>43</v>
      </c>
      <c r="E156" t="s">
        <v>32</v>
      </c>
      <c r="F156" t="s">
        <v>34</v>
      </c>
      <c r="G156">
        <v>4</v>
      </c>
      <c r="H156">
        <v>2</v>
      </c>
      <c r="I156">
        <v>2</v>
      </c>
      <c r="J156">
        <v>0</v>
      </c>
      <c r="K156">
        <v>2</v>
      </c>
      <c r="L156">
        <v>197</v>
      </c>
      <c r="M156">
        <v>1</v>
      </c>
      <c r="N156">
        <v>1</v>
      </c>
      <c r="O156">
        <v>1</v>
      </c>
      <c r="P156">
        <v>1</v>
      </c>
      <c r="Q156">
        <v>0</v>
      </c>
      <c r="R156">
        <v>0.7</v>
      </c>
      <c r="S156">
        <v>0.21</v>
      </c>
      <c r="T156">
        <v>0.03</v>
      </c>
      <c r="U156">
        <v>424.71</v>
      </c>
      <c r="V156">
        <v>0</v>
      </c>
      <c r="W156">
        <v>0</v>
      </c>
      <c r="X156">
        <v>0</v>
      </c>
      <c r="Y156">
        <v>197</v>
      </c>
      <c r="Z156">
        <v>0.11</v>
      </c>
      <c r="AA156">
        <v>0</v>
      </c>
      <c r="AB156">
        <v>0.11</v>
      </c>
      <c r="AC156">
        <v>0.11</v>
      </c>
      <c r="AD156">
        <v>0</v>
      </c>
      <c r="AE156">
        <v>0.11</v>
      </c>
      <c r="AF156">
        <v>28</v>
      </c>
      <c r="AG156">
        <v>20</v>
      </c>
      <c r="AH156">
        <v>8</v>
      </c>
      <c r="AI156">
        <v>1</v>
      </c>
      <c r="AJ156">
        <v>19</v>
      </c>
      <c r="AK156">
        <v>7.5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</row>
    <row r="157" spans="1:43" hidden="1" x14ac:dyDescent="0.25">
      <c r="A157" s="1">
        <v>46054</v>
      </c>
      <c r="B157" t="s">
        <v>32</v>
      </c>
      <c r="C157" t="s">
        <v>44</v>
      </c>
      <c r="D157" t="s">
        <v>44</v>
      </c>
      <c r="E157" t="s">
        <v>32</v>
      </c>
      <c r="F157" t="s">
        <v>34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0</v>
      </c>
      <c r="R157">
        <v>0.7</v>
      </c>
      <c r="S157">
        <v>0.21</v>
      </c>
      <c r="T157">
        <v>0.03</v>
      </c>
      <c r="U157">
        <v>0</v>
      </c>
      <c r="V157">
        <v>0</v>
      </c>
      <c r="W157">
        <v>0</v>
      </c>
      <c r="X157">
        <v>0</v>
      </c>
      <c r="Y157" t="s">
        <v>125</v>
      </c>
      <c r="Z157">
        <v>0</v>
      </c>
      <c r="AA157" t="s">
        <v>125</v>
      </c>
      <c r="AB157" t="s">
        <v>125</v>
      </c>
      <c r="AC157">
        <v>0</v>
      </c>
      <c r="AD157" t="s">
        <v>125</v>
      </c>
      <c r="AE157" t="s">
        <v>125</v>
      </c>
      <c r="AF157">
        <v>28</v>
      </c>
      <c r="AG157">
        <v>20</v>
      </c>
      <c r="AH157">
        <v>8</v>
      </c>
      <c r="AI157">
        <v>1</v>
      </c>
      <c r="AJ157">
        <v>19</v>
      </c>
      <c r="AK157">
        <v>7.5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</row>
    <row r="158" spans="1:43" hidden="1" x14ac:dyDescent="0.25">
      <c r="A158" s="1">
        <v>46082</v>
      </c>
      <c r="B158" t="s">
        <v>32</v>
      </c>
      <c r="C158" t="s">
        <v>33</v>
      </c>
      <c r="D158" t="s">
        <v>33</v>
      </c>
      <c r="E158" t="s">
        <v>32</v>
      </c>
      <c r="F158" t="s">
        <v>34</v>
      </c>
      <c r="G158">
        <v>31</v>
      </c>
      <c r="H158">
        <v>0</v>
      </c>
      <c r="I158">
        <v>30</v>
      </c>
      <c r="J158">
        <v>0</v>
      </c>
      <c r="K158">
        <v>30</v>
      </c>
      <c r="L158">
        <v>0</v>
      </c>
      <c r="M158">
        <v>0</v>
      </c>
      <c r="N158">
        <v>0</v>
      </c>
      <c r="O158">
        <v>0</v>
      </c>
      <c r="P158">
        <v>1</v>
      </c>
      <c r="Q158">
        <v>0</v>
      </c>
      <c r="R158">
        <v>0.7</v>
      </c>
      <c r="S158">
        <v>0.21</v>
      </c>
      <c r="T158">
        <v>0.03</v>
      </c>
      <c r="U158">
        <v>286.55</v>
      </c>
      <c r="V158">
        <v>0</v>
      </c>
      <c r="W158">
        <v>0</v>
      </c>
      <c r="X158">
        <v>0</v>
      </c>
      <c r="Y158">
        <v>286.55</v>
      </c>
      <c r="Z158">
        <v>0</v>
      </c>
      <c r="AA158">
        <v>0</v>
      </c>
      <c r="AB158">
        <v>0</v>
      </c>
      <c r="AC158">
        <v>2.39</v>
      </c>
      <c r="AD158">
        <v>0</v>
      </c>
      <c r="AE158">
        <v>2.39</v>
      </c>
      <c r="AF158">
        <v>31</v>
      </c>
      <c r="AG158">
        <v>22</v>
      </c>
      <c r="AH158">
        <v>9</v>
      </c>
      <c r="AI158">
        <v>0</v>
      </c>
      <c r="AJ158">
        <v>22</v>
      </c>
      <c r="AK158">
        <v>7.5</v>
      </c>
      <c r="AL158">
        <v>0</v>
      </c>
      <c r="AM158">
        <v>0</v>
      </c>
      <c r="AN158">
        <v>0</v>
      </c>
      <c r="AO158">
        <v>0.03</v>
      </c>
      <c r="AP158">
        <v>0</v>
      </c>
      <c r="AQ158">
        <v>0.03</v>
      </c>
    </row>
    <row r="159" spans="1:43" hidden="1" x14ac:dyDescent="0.25">
      <c r="A159" s="1">
        <v>46082</v>
      </c>
      <c r="B159" t="s">
        <v>32</v>
      </c>
      <c r="C159" t="s">
        <v>32</v>
      </c>
      <c r="D159" t="s">
        <v>32</v>
      </c>
      <c r="E159" t="s">
        <v>32</v>
      </c>
      <c r="F159" t="s">
        <v>35</v>
      </c>
      <c r="G159">
        <v>386</v>
      </c>
      <c r="H159">
        <v>0</v>
      </c>
      <c r="I159">
        <v>176</v>
      </c>
      <c r="J159">
        <v>0</v>
      </c>
      <c r="K159">
        <v>176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0.7</v>
      </c>
      <c r="S159">
        <v>0.21</v>
      </c>
      <c r="T159">
        <v>0.03</v>
      </c>
      <c r="U159">
        <v>1789.08</v>
      </c>
      <c r="V159">
        <v>0</v>
      </c>
      <c r="W159">
        <v>0</v>
      </c>
      <c r="X159">
        <v>0</v>
      </c>
      <c r="Y159">
        <v>1789.08</v>
      </c>
      <c r="Z159">
        <v>0</v>
      </c>
      <c r="AA159">
        <v>0</v>
      </c>
      <c r="AB159">
        <v>0</v>
      </c>
      <c r="AC159">
        <v>87.47</v>
      </c>
      <c r="AD159">
        <v>0</v>
      </c>
      <c r="AE159">
        <v>87.47</v>
      </c>
      <c r="AF159">
        <v>31</v>
      </c>
      <c r="AG159">
        <v>22</v>
      </c>
      <c r="AH159">
        <v>9</v>
      </c>
      <c r="AI159">
        <v>0</v>
      </c>
      <c r="AJ159">
        <v>22</v>
      </c>
      <c r="AK159">
        <v>7.5</v>
      </c>
      <c r="AL159">
        <v>0</v>
      </c>
      <c r="AM159">
        <v>0</v>
      </c>
      <c r="AN159">
        <v>0</v>
      </c>
      <c r="AO159">
        <v>0.99</v>
      </c>
      <c r="AP159">
        <v>0</v>
      </c>
      <c r="AQ159">
        <v>0.99</v>
      </c>
    </row>
    <row r="160" spans="1:43" hidden="1" x14ac:dyDescent="0.25">
      <c r="A160" s="1">
        <v>46082</v>
      </c>
      <c r="B160" t="s">
        <v>32</v>
      </c>
      <c r="C160" t="s">
        <v>32</v>
      </c>
      <c r="D160" t="s">
        <v>32</v>
      </c>
      <c r="E160" t="s">
        <v>32</v>
      </c>
      <c r="F160" t="s">
        <v>45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0.7</v>
      </c>
      <c r="S160">
        <v>0.21</v>
      </c>
      <c r="T160">
        <v>0.03</v>
      </c>
      <c r="U160">
        <v>1080</v>
      </c>
      <c r="V160">
        <v>0.7</v>
      </c>
      <c r="W160">
        <v>0.21</v>
      </c>
      <c r="X160">
        <v>0.03</v>
      </c>
      <c r="Y160">
        <v>1080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31</v>
      </c>
      <c r="AG160">
        <v>22</v>
      </c>
      <c r="AH160">
        <v>9</v>
      </c>
      <c r="AI160">
        <v>0</v>
      </c>
      <c r="AJ160">
        <v>22</v>
      </c>
      <c r="AK160">
        <v>7.5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</row>
    <row r="161" spans="1:43" hidden="1" x14ac:dyDescent="0.25">
      <c r="A161" s="1">
        <v>46082</v>
      </c>
      <c r="B161" t="s">
        <v>32</v>
      </c>
      <c r="C161" t="s">
        <v>36</v>
      </c>
      <c r="D161" t="s">
        <v>36</v>
      </c>
      <c r="E161" t="s">
        <v>32</v>
      </c>
      <c r="F161" t="s">
        <v>34</v>
      </c>
      <c r="G161">
        <v>10</v>
      </c>
      <c r="H161">
        <v>0</v>
      </c>
      <c r="I161">
        <v>9</v>
      </c>
      <c r="J161">
        <v>0</v>
      </c>
      <c r="K161">
        <v>9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0</v>
      </c>
      <c r="R161">
        <v>0.7</v>
      </c>
      <c r="S161">
        <v>0.21</v>
      </c>
      <c r="T161">
        <v>0.03</v>
      </c>
      <c r="U161">
        <v>480.72</v>
      </c>
      <c r="V161">
        <v>0</v>
      </c>
      <c r="W161">
        <v>0</v>
      </c>
      <c r="X161">
        <v>0</v>
      </c>
      <c r="Y161">
        <v>480.72</v>
      </c>
      <c r="Z161">
        <v>0</v>
      </c>
      <c r="AA161">
        <v>0</v>
      </c>
      <c r="AB161">
        <v>0</v>
      </c>
      <c r="AC161">
        <v>1.2</v>
      </c>
      <c r="AD161">
        <v>0</v>
      </c>
      <c r="AE161">
        <v>1.2</v>
      </c>
      <c r="AF161">
        <v>31</v>
      </c>
      <c r="AG161">
        <v>22</v>
      </c>
      <c r="AH161">
        <v>9</v>
      </c>
      <c r="AI161">
        <v>0</v>
      </c>
      <c r="AJ161">
        <v>22</v>
      </c>
      <c r="AK161">
        <v>7.5</v>
      </c>
      <c r="AL161">
        <v>0</v>
      </c>
      <c r="AM161">
        <v>0</v>
      </c>
      <c r="AN161">
        <v>0</v>
      </c>
      <c r="AO161">
        <v>0.01</v>
      </c>
      <c r="AP161">
        <v>0</v>
      </c>
      <c r="AQ161">
        <v>0.01</v>
      </c>
    </row>
    <row r="162" spans="1:43" hidden="1" x14ac:dyDescent="0.25">
      <c r="A162" s="1">
        <v>46082</v>
      </c>
      <c r="B162" t="s">
        <v>32</v>
      </c>
      <c r="C162" t="s">
        <v>37</v>
      </c>
      <c r="D162" t="s">
        <v>37</v>
      </c>
      <c r="E162" t="s">
        <v>32</v>
      </c>
      <c r="F162" t="s">
        <v>34</v>
      </c>
      <c r="G162">
        <v>3</v>
      </c>
      <c r="H162">
        <v>0</v>
      </c>
      <c r="I162">
        <v>1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0.7</v>
      </c>
      <c r="S162">
        <v>0.21</v>
      </c>
      <c r="T162">
        <v>0.03</v>
      </c>
      <c r="U162">
        <v>299.33</v>
      </c>
      <c r="V162">
        <v>0</v>
      </c>
      <c r="W162">
        <v>0</v>
      </c>
      <c r="X162">
        <v>0</v>
      </c>
      <c r="Y162">
        <v>299.33</v>
      </c>
      <c r="Z162">
        <v>0</v>
      </c>
      <c r="AA162">
        <v>0</v>
      </c>
      <c r="AB162">
        <v>0</v>
      </c>
      <c r="AC162">
        <v>0.08</v>
      </c>
      <c r="AD162">
        <v>0</v>
      </c>
      <c r="AE162">
        <v>0.08</v>
      </c>
      <c r="AF162">
        <v>31</v>
      </c>
      <c r="AG162">
        <v>22</v>
      </c>
      <c r="AH162">
        <v>9</v>
      </c>
      <c r="AI162">
        <v>0</v>
      </c>
      <c r="AJ162">
        <v>22</v>
      </c>
      <c r="AK162">
        <v>7.5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</row>
    <row r="163" spans="1:43" hidden="1" x14ac:dyDescent="0.25">
      <c r="A163" s="1">
        <v>46082</v>
      </c>
      <c r="B163" t="s">
        <v>32</v>
      </c>
      <c r="C163" t="s">
        <v>38</v>
      </c>
      <c r="D163" t="s">
        <v>38</v>
      </c>
      <c r="E163" t="s">
        <v>32</v>
      </c>
      <c r="F163" t="s">
        <v>34</v>
      </c>
      <c r="G163">
        <v>5700</v>
      </c>
      <c r="H163">
        <v>0</v>
      </c>
      <c r="I163">
        <v>3732</v>
      </c>
      <c r="J163">
        <v>-503</v>
      </c>
      <c r="K163">
        <v>3229</v>
      </c>
      <c r="L163">
        <v>0</v>
      </c>
      <c r="M163">
        <v>0</v>
      </c>
      <c r="N163">
        <v>0</v>
      </c>
      <c r="O163">
        <v>0</v>
      </c>
      <c r="P163">
        <v>0.53320000000000001</v>
      </c>
      <c r="Q163">
        <v>0.46679999999999999</v>
      </c>
      <c r="R163">
        <v>0.7</v>
      </c>
      <c r="S163">
        <v>0.21</v>
      </c>
      <c r="T163">
        <v>0.03</v>
      </c>
      <c r="U163">
        <v>602.35</v>
      </c>
      <c r="V163">
        <v>0.7</v>
      </c>
      <c r="W163">
        <v>0.21</v>
      </c>
      <c r="X163">
        <v>0.03</v>
      </c>
      <c r="Y163">
        <v>602.35</v>
      </c>
      <c r="Z163">
        <v>0</v>
      </c>
      <c r="AA163">
        <v>0</v>
      </c>
      <c r="AB163">
        <v>0</v>
      </c>
      <c r="AC163">
        <v>288.07</v>
      </c>
      <c r="AD163">
        <v>252.2</v>
      </c>
      <c r="AE163">
        <v>540.27</v>
      </c>
      <c r="AF163">
        <v>31</v>
      </c>
      <c r="AG163">
        <v>22</v>
      </c>
      <c r="AH163">
        <v>9</v>
      </c>
      <c r="AI163">
        <v>0</v>
      </c>
      <c r="AJ163">
        <v>22</v>
      </c>
      <c r="AK163">
        <v>7.5</v>
      </c>
      <c r="AL163">
        <v>0</v>
      </c>
      <c r="AM163">
        <v>0</v>
      </c>
      <c r="AN163">
        <v>0</v>
      </c>
      <c r="AO163">
        <v>3.25</v>
      </c>
      <c r="AP163">
        <v>2.85</v>
      </c>
      <c r="AQ163">
        <v>6.1</v>
      </c>
    </row>
    <row r="164" spans="1:43" hidden="1" x14ac:dyDescent="0.25">
      <c r="A164" s="1">
        <v>46082</v>
      </c>
      <c r="B164" t="s">
        <v>32</v>
      </c>
      <c r="C164" t="s">
        <v>39</v>
      </c>
      <c r="D164" t="s">
        <v>39</v>
      </c>
      <c r="E164" t="s">
        <v>32</v>
      </c>
      <c r="F164" t="s">
        <v>34</v>
      </c>
      <c r="G164">
        <v>195</v>
      </c>
      <c r="H164">
        <v>0</v>
      </c>
      <c r="I164">
        <v>62</v>
      </c>
      <c r="J164">
        <v>0</v>
      </c>
      <c r="K164">
        <v>62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0</v>
      </c>
      <c r="R164">
        <v>0.7</v>
      </c>
      <c r="S164">
        <v>0.21</v>
      </c>
      <c r="T164">
        <v>0.03</v>
      </c>
      <c r="U164">
        <v>462.54</v>
      </c>
      <c r="V164">
        <v>0</v>
      </c>
      <c r="W164">
        <v>0</v>
      </c>
      <c r="X164">
        <v>0</v>
      </c>
      <c r="Y164">
        <v>462.54</v>
      </c>
      <c r="Z164">
        <v>0</v>
      </c>
      <c r="AA164">
        <v>0</v>
      </c>
      <c r="AB164">
        <v>0</v>
      </c>
      <c r="AC164">
        <v>7.97</v>
      </c>
      <c r="AD164">
        <v>0</v>
      </c>
      <c r="AE164">
        <v>7.97</v>
      </c>
      <c r="AF164">
        <v>31</v>
      </c>
      <c r="AG164">
        <v>22</v>
      </c>
      <c r="AH164">
        <v>9</v>
      </c>
      <c r="AI164">
        <v>0</v>
      </c>
      <c r="AJ164">
        <v>22</v>
      </c>
      <c r="AK164">
        <v>7.5</v>
      </c>
      <c r="AL164">
        <v>0</v>
      </c>
      <c r="AM164">
        <v>0</v>
      </c>
      <c r="AN164">
        <v>0</v>
      </c>
      <c r="AO164">
        <v>0.09</v>
      </c>
      <c r="AP164">
        <v>0</v>
      </c>
      <c r="AQ164">
        <v>0.09</v>
      </c>
    </row>
    <row r="165" spans="1:43" hidden="1" x14ac:dyDescent="0.25">
      <c r="A165" s="1">
        <v>46082</v>
      </c>
      <c r="B165" t="s">
        <v>32</v>
      </c>
      <c r="C165" t="s">
        <v>40</v>
      </c>
      <c r="D165" t="s">
        <v>40</v>
      </c>
      <c r="E165" t="s">
        <v>32</v>
      </c>
      <c r="F165" t="s">
        <v>34</v>
      </c>
      <c r="G165">
        <v>55</v>
      </c>
      <c r="H165">
        <v>0</v>
      </c>
      <c r="I165">
        <v>47</v>
      </c>
      <c r="J165">
        <v>0</v>
      </c>
      <c r="K165">
        <v>47</v>
      </c>
      <c r="L165">
        <v>0</v>
      </c>
      <c r="M165">
        <v>0</v>
      </c>
      <c r="N165">
        <v>0</v>
      </c>
      <c r="O165">
        <v>0</v>
      </c>
      <c r="P165">
        <v>0.1043</v>
      </c>
      <c r="Q165">
        <v>0.89570000000000005</v>
      </c>
      <c r="R165">
        <v>0.7</v>
      </c>
      <c r="S165">
        <v>0.21</v>
      </c>
      <c r="T165">
        <v>0.03</v>
      </c>
      <c r="U165">
        <v>653.49</v>
      </c>
      <c r="V165">
        <v>0.7</v>
      </c>
      <c r="W165">
        <v>0.21</v>
      </c>
      <c r="X165">
        <v>0.03</v>
      </c>
      <c r="Y165">
        <v>653.49</v>
      </c>
      <c r="Z165">
        <v>0</v>
      </c>
      <c r="AA165">
        <v>0</v>
      </c>
      <c r="AB165">
        <v>0</v>
      </c>
      <c r="AC165">
        <v>0.89</v>
      </c>
      <c r="AD165">
        <v>7.64</v>
      </c>
      <c r="AE165">
        <v>8.5299999999999994</v>
      </c>
      <c r="AF165">
        <v>31</v>
      </c>
      <c r="AG165">
        <v>22</v>
      </c>
      <c r="AH165">
        <v>9</v>
      </c>
      <c r="AI165">
        <v>0</v>
      </c>
      <c r="AJ165">
        <v>22</v>
      </c>
      <c r="AK165">
        <v>7.5</v>
      </c>
      <c r="AL165">
        <v>0</v>
      </c>
      <c r="AM165">
        <v>0</v>
      </c>
      <c r="AN165">
        <v>0</v>
      </c>
      <c r="AO165">
        <v>0.01</v>
      </c>
      <c r="AP165">
        <v>0.09</v>
      </c>
      <c r="AQ165">
        <v>9.9999999999999895E-2</v>
      </c>
    </row>
    <row r="166" spans="1:43" hidden="1" x14ac:dyDescent="0.25">
      <c r="A166" s="1">
        <v>46082</v>
      </c>
      <c r="B166" t="s">
        <v>32</v>
      </c>
      <c r="C166" t="s">
        <v>41</v>
      </c>
      <c r="D166" t="s">
        <v>41</v>
      </c>
      <c r="E166" t="s">
        <v>32</v>
      </c>
      <c r="F166" t="s">
        <v>34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125</v>
      </c>
      <c r="Z166">
        <v>0</v>
      </c>
      <c r="AA166" t="s">
        <v>125</v>
      </c>
      <c r="AB166" t="s">
        <v>125</v>
      </c>
      <c r="AC166">
        <v>0</v>
      </c>
      <c r="AD166" t="s">
        <v>125</v>
      </c>
      <c r="AE166" t="s">
        <v>125</v>
      </c>
      <c r="AF166">
        <v>31</v>
      </c>
      <c r="AG166">
        <v>22</v>
      </c>
      <c r="AH166">
        <v>9</v>
      </c>
      <c r="AI166">
        <v>0</v>
      </c>
      <c r="AJ166">
        <v>22</v>
      </c>
      <c r="AK166">
        <v>7.5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</row>
    <row r="167" spans="1:43" hidden="1" x14ac:dyDescent="0.25">
      <c r="A167" s="1">
        <v>46082</v>
      </c>
      <c r="B167" t="s">
        <v>32</v>
      </c>
      <c r="C167" t="s">
        <v>42</v>
      </c>
      <c r="D167" t="s">
        <v>42</v>
      </c>
      <c r="E167" t="s">
        <v>32</v>
      </c>
      <c r="F167" t="s">
        <v>34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 t="s">
        <v>125</v>
      </c>
      <c r="Z167">
        <v>0</v>
      </c>
      <c r="AA167" t="s">
        <v>125</v>
      </c>
      <c r="AB167" t="s">
        <v>125</v>
      </c>
      <c r="AC167">
        <v>0</v>
      </c>
      <c r="AD167" t="s">
        <v>125</v>
      </c>
      <c r="AE167" t="s">
        <v>125</v>
      </c>
      <c r="AF167">
        <v>31</v>
      </c>
      <c r="AG167">
        <v>22</v>
      </c>
      <c r="AH167">
        <v>9</v>
      </c>
      <c r="AI167">
        <v>0</v>
      </c>
      <c r="AJ167">
        <v>22</v>
      </c>
      <c r="AK167">
        <v>7.5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</row>
    <row r="168" spans="1:43" hidden="1" x14ac:dyDescent="0.25">
      <c r="A168" s="1">
        <v>46082</v>
      </c>
      <c r="B168" t="s">
        <v>32</v>
      </c>
      <c r="C168" t="s">
        <v>43</v>
      </c>
      <c r="D168" t="s">
        <v>43</v>
      </c>
      <c r="E168" t="s">
        <v>32</v>
      </c>
      <c r="F168" t="s">
        <v>34</v>
      </c>
      <c r="G168">
        <v>3</v>
      </c>
      <c r="H168">
        <v>0</v>
      </c>
      <c r="I168">
        <v>2</v>
      </c>
      <c r="J168">
        <v>0</v>
      </c>
      <c r="K168">
        <v>2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0</v>
      </c>
      <c r="R168">
        <v>0.7</v>
      </c>
      <c r="S168">
        <v>0.21</v>
      </c>
      <c r="T168">
        <v>0.03</v>
      </c>
      <c r="U168">
        <v>344.84</v>
      </c>
      <c r="V168">
        <v>0</v>
      </c>
      <c r="W168">
        <v>0</v>
      </c>
      <c r="X168">
        <v>0</v>
      </c>
      <c r="Y168">
        <v>344.84</v>
      </c>
      <c r="Z168">
        <v>0</v>
      </c>
      <c r="AA168">
        <v>0</v>
      </c>
      <c r="AB168">
        <v>0</v>
      </c>
      <c r="AC168">
        <v>0.19</v>
      </c>
      <c r="AD168">
        <v>0</v>
      </c>
      <c r="AE168">
        <v>0.19</v>
      </c>
      <c r="AF168">
        <v>31</v>
      </c>
      <c r="AG168">
        <v>22</v>
      </c>
      <c r="AH168">
        <v>9</v>
      </c>
      <c r="AI168">
        <v>0</v>
      </c>
      <c r="AJ168">
        <v>22</v>
      </c>
      <c r="AK168">
        <v>7.5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</row>
    <row r="169" spans="1:43" hidden="1" x14ac:dyDescent="0.25">
      <c r="A169" s="1">
        <v>46082</v>
      </c>
      <c r="B169" t="s">
        <v>32</v>
      </c>
      <c r="C169" t="s">
        <v>44</v>
      </c>
      <c r="D169" t="s">
        <v>44</v>
      </c>
      <c r="E169" t="s">
        <v>32</v>
      </c>
      <c r="F169" t="s">
        <v>34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0.7</v>
      </c>
      <c r="S169">
        <v>0.21</v>
      </c>
      <c r="T169">
        <v>0.03</v>
      </c>
      <c r="U169">
        <v>0</v>
      </c>
      <c r="V169">
        <v>0</v>
      </c>
      <c r="W169">
        <v>0</v>
      </c>
      <c r="X169">
        <v>0</v>
      </c>
      <c r="Y169" t="s">
        <v>125</v>
      </c>
      <c r="Z169">
        <v>0</v>
      </c>
      <c r="AA169" t="s">
        <v>125</v>
      </c>
      <c r="AB169" t="s">
        <v>125</v>
      </c>
      <c r="AC169">
        <v>0</v>
      </c>
      <c r="AD169" t="s">
        <v>125</v>
      </c>
      <c r="AE169" t="s">
        <v>125</v>
      </c>
      <c r="AF169">
        <v>31</v>
      </c>
      <c r="AG169">
        <v>22</v>
      </c>
      <c r="AH169">
        <v>9</v>
      </c>
      <c r="AI169">
        <v>0</v>
      </c>
      <c r="AJ169">
        <v>22</v>
      </c>
      <c r="AK169">
        <v>7.5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</row>
    <row r="170" spans="1:43" hidden="1" x14ac:dyDescent="0.25">
      <c r="A170" s="1">
        <v>46113</v>
      </c>
      <c r="B170" t="s">
        <v>32</v>
      </c>
      <c r="C170" t="s">
        <v>33</v>
      </c>
      <c r="D170" t="s">
        <v>33</v>
      </c>
      <c r="E170" t="s">
        <v>32</v>
      </c>
      <c r="F170" t="s">
        <v>34</v>
      </c>
      <c r="G170">
        <v>35</v>
      </c>
      <c r="H170">
        <v>0</v>
      </c>
      <c r="I170">
        <v>29</v>
      </c>
      <c r="J170">
        <v>0</v>
      </c>
      <c r="K170">
        <v>29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0</v>
      </c>
      <c r="R170">
        <v>0.7</v>
      </c>
      <c r="S170">
        <v>0.21</v>
      </c>
      <c r="T170">
        <v>0.03</v>
      </c>
      <c r="U170">
        <v>286.55</v>
      </c>
      <c r="V170">
        <v>0</v>
      </c>
      <c r="W170">
        <v>0</v>
      </c>
      <c r="X170">
        <v>0</v>
      </c>
      <c r="Y170">
        <v>286.55</v>
      </c>
      <c r="Z170">
        <v>0</v>
      </c>
      <c r="AA170">
        <v>0</v>
      </c>
      <c r="AB170">
        <v>0</v>
      </c>
      <c r="AC170">
        <v>2.31</v>
      </c>
      <c r="AD170">
        <v>0</v>
      </c>
      <c r="AE170">
        <v>2.31</v>
      </c>
      <c r="AF170">
        <v>30</v>
      </c>
      <c r="AG170">
        <v>22</v>
      </c>
      <c r="AH170">
        <v>8</v>
      </c>
      <c r="AI170">
        <v>0</v>
      </c>
      <c r="AJ170">
        <v>22</v>
      </c>
      <c r="AK170">
        <v>7.5</v>
      </c>
      <c r="AL170">
        <v>0</v>
      </c>
      <c r="AM170">
        <v>0</v>
      </c>
      <c r="AN170">
        <v>0</v>
      </c>
      <c r="AO170">
        <v>0.03</v>
      </c>
      <c r="AP170">
        <v>0</v>
      </c>
      <c r="AQ170">
        <v>0.03</v>
      </c>
    </row>
    <row r="171" spans="1:43" hidden="1" x14ac:dyDescent="0.25">
      <c r="A171" s="1">
        <v>46113</v>
      </c>
      <c r="B171" t="s">
        <v>32</v>
      </c>
      <c r="C171" t="s">
        <v>32</v>
      </c>
      <c r="D171" t="s">
        <v>32</v>
      </c>
      <c r="E171" t="s">
        <v>32</v>
      </c>
      <c r="F171" t="s">
        <v>35</v>
      </c>
      <c r="G171">
        <v>372</v>
      </c>
      <c r="H171">
        <v>0</v>
      </c>
      <c r="I171">
        <v>179</v>
      </c>
      <c r="J171">
        <v>0</v>
      </c>
      <c r="K171">
        <v>179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0</v>
      </c>
      <c r="R171">
        <v>0.7</v>
      </c>
      <c r="S171">
        <v>0.21</v>
      </c>
      <c r="T171">
        <v>0.03</v>
      </c>
      <c r="U171">
        <v>1789.08</v>
      </c>
      <c r="V171">
        <v>0</v>
      </c>
      <c r="W171">
        <v>0</v>
      </c>
      <c r="X171">
        <v>0</v>
      </c>
      <c r="Y171">
        <v>1789.08</v>
      </c>
      <c r="Z171">
        <v>0</v>
      </c>
      <c r="AA171">
        <v>0</v>
      </c>
      <c r="AB171">
        <v>0</v>
      </c>
      <c r="AC171">
        <v>88.96</v>
      </c>
      <c r="AD171">
        <v>0</v>
      </c>
      <c r="AE171">
        <v>88.96</v>
      </c>
      <c r="AF171">
        <v>30</v>
      </c>
      <c r="AG171">
        <v>22</v>
      </c>
      <c r="AH171">
        <v>8</v>
      </c>
      <c r="AI171">
        <v>0</v>
      </c>
      <c r="AJ171">
        <v>22</v>
      </c>
      <c r="AK171">
        <v>7.5</v>
      </c>
      <c r="AL171">
        <v>0</v>
      </c>
      <c r="AM171">
        <v>0</v>
      </c>
      <c r="AN171">
        <v>0</v>
      </c>
      <c r="AO171">
        <v>1</v>
      </c>
      <c r="AP171">
        <v>0</v>
      </c>
      <c r="AQ171">
        <v>1</v>
      </c>
    </row>
    <row r="172" spans="1:43" hidden="1" x14ac:dyDescent="0.25">
      <c r="A172" s="1">
        <v>46113</v>
      </c>
      <c r="B172" t="s">
        <v>32</v>
      </c>
      <c r="C172" t="s">
        <v>32</v>
      </c>
      <c r="D172" t="s">
        <v>32</v>
      </c>
      <c r="E172" t="s">
        <v>32</v>
      </c>
      <c r="F172" t="s">
        <v>45</v>
      </c>
      <c r="G172">
        <v>0</v>
      </c>
      <c r="H172">
        <v>0</v>
      </c>
      <c r="I172">
        <v>0</v>
      </c>
      <c r="J172">
        <v>30</v>
      </c>
      <c r="K172">
        <v>30</v>
      </c>
      <c r="L172">
        <v>0</v>
      </c>
      <c r="M172">
        <v>0</v>
      </c>
      <c r="N172">
        <v>0</v>
      </c>
      <c r="O172">
        <v>0</v>
      </c>
      <c r="P172">
        <v>1</v>
      </c>
      <c r="Q172">
        <v>0</v>
      </c>
      <c r="R172">
        <v>0.7</v>
      </c>
      <c r="S172">
        <v>0.21</v>
      </c>
      <c r="T172">
        <v>0.03</v>
      </c>
      <c r="U172">
        <v>1080</v>
      </c>
      <c r="V172">
        <v>0.7</v>
      </c>
      <c r="W172">
        <v>0.21</v>
      </c>
      <c r="X172">
        <v>0.03</v>
      </c>
      <c r="Y172">
        <v>1080</v>
      </c>
      <c r="Z172">
        <v>0</v>
      </c>
      <c r="AA172">
        <v>0</v>
      </c>
      <c r="AB172">
        <v>0</v>
      </c>
      <c r="AC172">
        <v>9</v>
      </c>
      <c r="AD172">
        <v>0</v>
      </c>
      <c r="AE172">
        <v>9</v>
      </c>
      <c r="AF172">
        <v>30</v>
      </c>
      <c r="AG172">
        <v>22</v>
      </c>
      <c r="AH172">
        <v>8</v>
      </c>
      <c r="AI172">
        <v>0</v>
      </c>
      <c r="AJ172">
        <v>22</v>
      </c>
      <c r="AK172">
        <v>7.5</v>
      </c>
      <c r="AL172">
        <v>0</v>
      </c>
      <c r="AM172">
        <v>0</v>
      </c>
      <c r="AN172">
        <v>0</v>
      </c>
      <c r="AO172">
        <v>0.1</v>
      </c>
      <c r="AP172">
        <v>0</v>
      </c>
      <c r="AQ172">
        <v>0.1</v>
      </c>
    </row>
    <row r="173" spans="1:43" hidden="1" x14ac:dyDescent="0.25">
      <c r="A173" s="1">
        <v>46113</v>
      </c>
      <c r="B173" t="s">
        <v>32</v>
      </c>
      <c r="C173" t="s">
        <v>36</v>
      </c>
      <c r="D173" t="s">
        <v>36</v>
      </c>
      <c r="E173" t="s">
        <v>32</v>
      </c>
      <c r="F173" t="s">
        <v>34</v>
      </c>
      <c r="G173">
        <v>2</v>
      </c>
      <c r="H173">
        <v>0</v>
      </c>
      <c r="I173">
        <v>4</v>
      </c>
      <c r="J173">
        <v>0</v>
      </c>
      <c r="K173">
        <v>4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0</v>
      </c>
      <c r="R173">
        <v>0.7</v>
      </c>
      <c r="S173">
        <v>0.21</v>
      </c>
      <c r="T173">
        <v>0.03</v>
      </c>
      <c r="U173">
        <v>480.72</v>
      </c>
      <c r="V173">
        <v>0</v>
      </c>
      <c r="W173">
        <v>0</v>
      </c>
      <c r="X173">
        <v>0</v>
      </c>
      <c r="Y173">
        <v>480.72</v>
      </c>
      <c r="Z173">
        <v>0</v>
      </c>
      <c r="AA173">
        <v>0</v>
      </c>
      <c r="AB173">
        <v>0</v>
      </c>
      <c r="AC173">
        <v>0.53</v>
      </c>
      <c r="AD173">
        <v>0</v>
      </c>
      <c r="AE173">
        <v>0.53</v>
      </c>
      <c r="AF173">
        <v>30</v>
      </c>
      <c r="AG173">
        <v>22</v>
      </c>
      <c r="AH173">
        <v>8</v>
      </c>
      <c r="AI173">
        <v>0</v>
      </c>
      <c r="AJ173">
        <v>22</v>
      </c>
      <c r="AK173">
        <v>7.5</v>
      </c>
      <c r="AL173">
        <v>0</v>
      </c>
      <c r="AM173">
        <v>0</v>
      </c>
      <c r="AN173">
        <v>0</v>
      </c>
      <c r="AO173">
        <v>0.01</v>
      </c>
      <c r="AP173">
        <v>0</v>
      </c>
      <c r="AQ173">
        <v>0.01</v>
      </c>
    </row>
    <row r="174" spans="1:43" hidden="1" x14ac:dyDescent="0.25">
      <c r="A174" s="1">
        <v>46113</v>
      </c>
      <c r="B174" t="s">
        <v>32</v>
      </c>
      <c r="C174" t="s">
        <v>37</v>
      </c>
      <c r="D174" t="s">
        <v>37</v>
      </c>
      <c r="E174" t="s">
        <v>32</v>
      </c>
      <c r="F174" t="s">
        <v>34</v>
      </c>
      <c r="G174">
        <v>3</v>
      </c>
      <c r="H174">
        <v>0</v>
      </c>
      <c r="I174">
        <v>1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1</v>
      </c>
      <c r="Q174">
        <v>0</v>
      </c>
      <c r="R174">
        <v>0.7</v>
      </c>
      <c r="S174">
        <v>0.21</v>
      </c>
      <c r="T174">
        <v>0.03</v>
      </c>
      <c r="U174">
        <v>299.33</v>
      </c>
      <c r="V174">
        <v>0</v>
      </c>
      <c r="W174">
        <v>0</v>
      </c>
      <c r="X174">
        <v>0</v>
      </c>
      <c r="Y174">
        <v>299.33</v>
      </c>
      <c r="Z174">
        <v>0</v>
      </c>
      <c r="AA174">
        <v>0</v>
      </c>
      <c r="AB174">
        <v>0</v>
      </c>
      <c r="AC174">
        <v>0.08</v>
      </c>
      <c r="AD174">
        <v>0</v>
      </c>
      <c r="AE174">
        <v>0.08</v>
      </c>
      <c r="AF174">
        <v>30</v>
      </c>
      <c r="AG174">
        <v>22</v>
      </c>
      <c r="AH174">
        <v>8</v>
      </c>
      <c r="AI174">
        <v>0</v>
      </c>
      <c r="AJ174">
        <v>22</v>
      </c>
      <c r="AK174">
        <v>7.5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</row>
    <row r="175" spans="1:43" hidden="1" x14ac:dyDescent="0.25">
      <c r="A175" s="1">
        <v>46113</v>
      </c>
      <c r="B175" t="s">
        <v>32</v>
      </c>
      <c r="C175" t="s">
        <v>38</v>
      </c>
      <c r="D175" t="s">
        <v>38</v>
      </c>
      <c r="E175" t="s">
        <v>32</v>
      </c>
      <c r="F175" t="s">
        <v>34</v>
      </c>
      <c r="G175">
        <v>5321</v>
      </c>
      <c r="H175">
        <v>0</v>
      </c>
      <c r="I175">
        <v>3941</v>
      </c>
      <c r="J175">
        <v>-503</v>
      </c>
      <c r="K175">
        <v>3438</v>
      </c>
      <c r="L175">
        <v>0</v>
      </c>
      <c r="M175">
        <v>0</v>
      </c>
      <c r="N175">
        <v>0</v>
      </c>
      <c r="O175">
        <v>0</v>
      </c>
      <c r="P175">
        <v>0.53320000000000001</v>
      </c>
      <c r="Q175">
        <v>0.46679999999999999</v>
      </c>
      <c r="R175">
        <v>0.7</v>
      </c>
      <c r="S175">
        <v>0.21</v>
      </c>
      <c r="T175">
        <v>0.03</v>
      </c>
      <c r="U175">
        <v>602.35</v>
      </c>
      <c r="V175">
        <v>0.7</v>
      </c>
      <c r="W175">
        <v>0.21</v>
      </c>
      <c r="X175">
        <v>0.03</v>
      </c>
      <c r="Y175">
        <v>602.35</v>
      </c>
      <c r="Z175">
        <v>0</v>
      </c>
      <c r="AA175">
        <v>0</v>
      </c>
      <c r="AB175">
        <v>0</v>
      </c>
      <c r="AC175">
        <v>306.72000000000003</v>
      </c>
      <c r="AD175">
        <v>268.52</v>
      </c>
      <c r="AE175">
        <v>575.24</v>
      </c>
      <c r="AF175">
        <v>30</v>
      </c>
      <c r="AG175">
        <v>22</v>
      </c>
      <c r="AH175">
        <v>8</v>
      </c>
      <c r="AI175">
        <v>0</v>
      </c>
      <c r="AJ175">
        <v>22</v>
      </c>
      <c r="AK175">
        <v>7.5</v>
      </c>
      <c r="AL175">
        <v>0</v>
      </c>
      <c r="AM175">
        <v>0</v>
      </c>
      <c r="AN175">
        <v>0</v>
      </c>
      <c r="AO175">
        <v>3.46</v>
      </c>
      <c r="AP175">
        <v>3.03</v>
      </c>
      <c r="AQ175">
        <v>6.49</v>
      </c>
    </row>
    <row r="176" spans="1:43" hidden="1" x14ac:dyDescent="0.25">
      <c r="A176" s="1">
        <v>46113</v>
      </c>
      <c r="B176" t="s">
        <v>32</v>
      </c>
      <c r="C176" t="s">
        <v>39</v>
      </c>
      <c r="D176" t="s">
        <v>39</v>
      </c>
      <c r="E176" t="s">
        <v>32</v>
      </c>
      <c r="F176" t="s">
        <v>34</v>
      </c>
      <c r="G176">
        <v>79</v>
      </c>
      <c r="H176">
        <v>0</v>
      </c>
      <c r="I176">
        <v>95</v>
      </c>
      <c r="J176">
        <v>0</v>
      </c>
      <c r="K176">
        <v>95</v>
      </c>
      <c r="L176">
        <v>0</v>
      </c>
      <c r="M176">
        <v>0</v>
      </c>
      <c r="N176">
        <v>0</v>
      </c>
      <c r="O176">
        <v>0</v>
      </c>
      <c r="P176">
        <v>1</v>
      </c>
      <c r="Q176">
        <v>0</v>
      </c>
      <c r="R176">
        <v>0.7</v>
      </c>
      <c r="S176">
        <v>0.21</v>
      </c>
      <c r="T176">
        <v>0.03</v>
      </c>
      <c r="U176">
        <v>462.54</v>
      </c>
      <c r="V176">
        <v>0</v>
      </c>
      <c r="W176">
        <v>0</v>
      </c>
      <c r="X176">
        <v>0</v>
      </c>
      <c r="Y176">
        <v>462.54</v>
      </c>
      <c r="Z176">
        <v>0</v>
      </c>
      <c r="AA176">
        <v>0</v>
      </c>
      <c r="AB176">
        <v>0</v>
      </c>
      <c r="AC176">
        <v>12.21</v>
      </c>
      <c r="AD176">
        <v>0</v>
      </c>
      <c r="AE176">
        <v>12.21</v>
      </c>
      <c r="AF176">
        <v>30</v>
      </c>
      <c r="AG176">
        <v>22</v>
      </c>
      <c r="AH176">
        <v>8</v>
      </c>
      <c r="AI176">
        <v>0</v>
      </c>
      <c r="AJ176">
        <v>22</v>
      </c>
      <c r="AK176">
        <v>7.5</v>
      </c>
      <c r="AL176">
        <v>0</v>
      </c>
      <c r="AM176">
        <v>0</v>
      </c>
      <c r="AN176">
        <v>0</v>
      </c>
      <c r="AO176">
        <v>0.14000000000000001</v>
      </c>
      <c r="AP176">
        <v>0</v>
      </c>
      <c r="AQ176">
        <v>0.14000000000000001</v>
      </c>
    </row>
    <row r="177" spans="1:43" hidden="1" x14ac:dyDescent="0.25">
      <c r="A177" s="1">
        <v>46113</v>
      </c>
      <c r="B177" t="s">
        <v>32</v>
      </c>
      <c r="C177" t="s">
        <v>40</v>
      </c>
      <c r="D177" t="s">
        <v>40</v>
      </c>
      <c r="E177" t="s">
        <v>32</v>
      </c>
      <c r="F177" t="s">
        <v>34</v>
      </c>
      <c r="G177">
        <v>58</v>
      </c>
      <c r="H177">
        <v>0</v>
      </c>
      <c r="I177">
        <v>46</v>
      </c>
      <c r="J177">
        <v>0</v>
      </c>
      <c r="K177">
        <v>46</v>
      </c>
      <c r="L177">
        <v>0</v>
      </c>
      <c r="M177">
        <v>0</v>
      </c>
      <c r="N177">
        <v>0</v>
      </c>
      <c r="O177">
        <v>0</v>
      </c>
      <c r="P177">
        <v>0.1043</v>
      </c>
      <c r="Q177">
        <v>0.89570000000000005</v>
      </c>
      <c r="R177">
        <v>0.7</v>
      </c>
      <c r="S177">
        <v>0.21</v>
      </c>
      <c r="T177">
        <v>0.03</v>
      </c>
      <c r="U177">
        <v>653.49</v>
      </c>
      <c r="V177">
        <v>0.7</v>
      </c>
      <c r="W177">
        <v>0.21</v>
      </c>
      <c r="X177">
        <v>0.03</v>
      </c>
      <c r="Y177">
        <v>653.49</v>
      </c>
      <c r="Z177">
        <v>0</v>
      </c>
      <c r="AA177">
        <v>0</v>
      </c>
      <c r="AB177">
        <v>0</v>
      </c>
      <c r="AC177">
        <v>0.87</v>
      </c>
      <c r="AD177">
        <v>7.48</v>
      </c>
      <c r="AE177">
        <v>8.35</v>
      </c>
      <c r="AF177">
        <v>30</v>
      </c>
      <c r="AG177">
        <v>22</v>
      </c>
      <c r="AH177">
        <v>8</v>
      </c>
      <c r="AI177">
        <v>0</v>
      </c>
      <c r="AJ177">
        <v>22</v>
      </c>
      <c r="AK177">
        <v>7.5</v>
      </c>
      <c r="AL177">
        <v>0</v>
      </c>
      <c r="AM177">
        <v>0</v>
      </c>
      <c r="AN177">
        <v>0</v>
      </c>
      <c r="AO177">
        <v>0.01</v>
      </c>
      <c r="AP177">
        <v>0.08</v>
      </c>
      <c r="AQ177">
        <v>0.09</v>
      </c>
    </row>
    <row r="178" spans="1:43" hidden="1" x14ac:dyDescent="0.25">
      <c r="A178" s="1">
        <v>46113</v>
      </c>
      <c r="B178" t="s">
        <v>32</v>
      </c>
      <c r="C178" t="s">
        <v>41</v>
      </c>
      <c r="D178" t="s">
        <v>41</v>
      </c>
      <c r="E178" t="s">
        <v>32</v>
      </c>
      <c r="F178" t="s">
        <v>34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 t="s">
        <v>125</v>
      </c>
      <c r="Z178">
        <v>0</v>
      </c>
      <c r="AA178" t="s">
        <v>125</v>
      </c>
      <c r="AB178" t="s">
        <v>125</v>
      </c>
      <c r="AC178">
        <v>0</v>
      </c>
      <c r="AD178" t="s">
        <v>125</v>
      </c>
      <c r="AE178" t="s">
        <v>125</v>
      </c>
      <c r="AF178">
        <v>30</v>
      </c>
      <c r="AG178">
        <v>22</v>
      </c>
      <c r="AH178">
        <v>8</v>
      </c>
      <c r="AI178">
        <v>0</v>
      </c>
      <c r="AJ178">
        <v>22</v>
      </c>
      <c r="AK178">
        <v>7.5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</row>
    <row r="179" spans="1:43" hidden="1" x14ac:dyDescent="0.25">
      <c r="A179" s="1">
        <v>46113</v>
      </c>
      <c r="B179" t="s">
        <v>32</v>
      </c>
      <c r="C179" t="s">
        <v>42</v>
      </c>
      <c r="D179" t="s">
        <v>42</v>
      </c>
      <c r="E179" t="s">
        <v>32</v>
      </c>
      <c r="F179" t="s">
        <v>34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1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 t="s">
        <v>125</v>
      </c>
      <c r="Z179">
        <v>0</v>
      </c>
      <c r="AA179" t="s">
        <v>125</v>
      </c>
      <c r="AB179" t="s">
        <v>125</v>
      </c>
      <c r="AC179">
        <v>0</v>
      </c>
      <c r="AD179" t="s">
        <v>125</v>
      </c>
      <c r="AE179" t="s">
        <v>125</v>
      </c>
      <c r="AF179">
        <v>30</v>
      </c>
      <c r="AG179">
        <v>22</v>
      </c>
      <c r="AH179">
        <v>8</v>
      </c>
      <c r="AI179">
        <v>0</v>
      </c>
      <c r="AJ179">
        <v>22</v>
      </c>
      <c r="AK179">
        <v>7.5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</row>
    <row r="180" spans="1:43" hidden="1" x14ac:dyDescent="0.25">
      <c r="A180" s="1">
        <v>46113</v>
      </c>
      <c r="B180" t="s">
        <v>32</v>
      </c>
      <c r="C180" t="s">
        <v>43</v>
      </c>
      <c r="D180" t="s">
        <v>43</v>
      </c>
      <c r="E180" t="s">
        <v>32</v>
      </c>
      <c r="F180" t="s">
        <v>34</v>
      </c>
      <c r="G180">
        <v>8</v>
      </c>
      <c r="H180">
        <v>0</v>
      </c>
      <c r="I180">
        <v>2</v>
      </c>
      <c r="J180">
        <v>0</v>
      </c>
      <c r="K180">
        <v>2</v>
      </c>
      <c r="L180">
        <v>0</v>
      </c>
      <c r="M180">
        <v>0</v>
      </c>
      <c r="N180">
        <v>0</v>
      </c>
      <c r="O180">
        <v>0</v>
      </c>
      <c r="P180">
        <v>1</v>
      </c>
      <c r="Q180">
        <v>0</v>
      </c>
      <c r="R180">
        <v>0.7</v>
      </c>
      <c r="S180">
        <v>0.21</v>
      </c>
      <c r="T180">
        <v>0.03</v>
      </c>
      <c r="U180">
        <v>344.84</v>
      </c>
      <c r="V180">
        <v>0</v>
      </c>
      <c r="W180">
        <v>0</v>
      </c>
      <c r="X180">
        <v>0</v>
      </c>
      <c r="Y180">
        <v>344.84</v>
      </c>
      <c r="Z180">
        <v>0</v>
      </c>
      <c r="AA180">
        <v>0</v>
      </c>
      <c r="AB180">
        <v>0</v>
      </c>
      <c r="AC180">
        <v>0.19</v>
      </c>
      <c r="AD180">
        <v>0</v>
      </c>
      <c r="AE180">
        <v>0.19</v>
      </c>
      <c r="AF180">
        <v>30</v>
      </c>
      <c r="AG180">
        <v>22</v>
      </c>
      <c r="AH180">
        <v>8</v>
      </c>
      <c r="AI180">
        <v>0</v>
      </c>
      <c r="AJ180">
        <v>22</v>
      </c>
      <c r="AK180">
        <v>7.5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</row>
    <row r="181" spans="1:43" hidden="1" x14ac:dyDescent="0.25">
      <c r="A181" s="1">
        <v>46113</v>
      </c>
      <c r="B181" t="s">
        <v>32</v>
      </c>
      <c r="C181" t="s">
        <v>44</v>
      </c>
      <c r="D181" t="s">
        <v>44</v>
      </c>
      <c r="E181" t="s">
        <v>32</v>
      </c>
      <c r="F181" t="s">
        <v>34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1</v>
      </c>
      <c r="Q181">
        <v>0</v>
      </c>
      <c r="R181">
        <v>0.7</v>
      </c>
      <c r="S181">
        <v>0.21</v>
      </c>
      <c r="T181">
        <v>0.03</v>
      </c>
      <c r="U181">
        <v>0</v>
      </c>
      <c r="V181">
        <v>0</v>
      </c>
      <c r="W181">
        <v>0</v>
      </c>
      <c r="X181">
        <v>0</v>
      </c>
      <c r="Y181" t="s">
        <v>125</v>
      </c>
      <c r="Z181">
        <v>0</v>
      </c>
      <c r="AA181" t="s">
        <v>125</v>
      </c>
      <c r="AB181" t="s">
        <v>125</v>
      </c>
      <c r="AC181">
        <v>0</v>
      </c>
      <c r="AD181" t="s">
        <v>125</v>
      </c>
      <c r="AE181" t="s">
        <v>125</v>
      </c>
      <c r="AF181">
        <v>30</v>
      </c>
      <c r="AG181">
        <v>22</v>
      </c>
      <c r="AH181">
        <v>8</v>
      </c>
      <c r="AI181">
        <v>0</v>
      </c>
      <c r="AJ181">
        <v>22</v>
      </c>
      <c r="AK181">
        <v>7.5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</row>
    <row r="182" spans="1:43" x14ac:dyDescent="0.25">
      <c r="A182" s="1">
        <v>46143</v>
      </c>
      <c r="B182" t="s">
        <v>32</v>
      </c>
      <c r="C182" t="s">
        <v>33</v>
      </c>
      <c r="D182" t="s">
        <v>33</v>
      </c>
      <c r="E182" t="s">
        <v>32</v>
      </c>
      <c r="F182" t="s">
        <v>34</v>
      </c>
      <c r="G182">
        <v>23</v>
      </c>
      <c r="H182">
        <v>0</v>
      </c>
      <c r="I182">
        <v>30</v>
      </c>
      <c r="J182">
        <v>0</v>
      </c>
      <c r="K182">
        <v>30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0</v>
      </c>
      <c r="R182">
        <v>0.7</v>
      </c>
      <c r="S182">
        <v>0.21</v>
      </c>
      <c r="T182">
        <v>0.03</v>
      </c>
      <c r="U182">
        <v>286.55</v>
      </c>
      <c r="V182">
        <v>0</v>
      </c>
      <c r="W182">
        <v>0</v>
      </c>
      <c r="X182">
        <v>0</v>
      </c>
      <c r="Y182">
        <v>286.55</v>
      </c>
      <c r="Z182">
        <v>0</v>
      </c>
      <c r="AA182">
        <v>0</v>
      </c>
      <c r="AB182">
        <v>0</v>
      </c>
      <c r="AC182">
        <v>2.39</v>
      </c>
      <c r="AD182">
        <v>0</v>
      </c>
      <c r="AE182">
        <v>2.39</v>
      </c>
      <c r="AF182">
        <v>31</v>
      </c>
      <c r="AG182">
        <v>21</v>
      </c>
      <c r="AH182">
        <v>10</v>
      </c>
      <c r="AI182">
        <v>1</v>
      </c>
      <c r="AJ182">
        <v>20</v>
      </c>
      <c r="AK182">
        <v>7.5</v>
      </c>
      <c r="AL182">
        <v>0</v>
      </c>
      <c r="AM182">
        <v>0</v>
      </c>
      <c r="AN182">
        <v>0</v>
      </c>
      <c r="AO182">
        <v>0.03</v>
      </c>
      <c r="AP182">
        <v>0</v>
      </c>
      <c r="AQ182">
        <v>0.03</v>
      </c>
    </row>
    <row r="183" spans="1:43" hidden="1" x14ac:dyDescent="0.25">
      <c r="A183" s="1">
        <v>46143</v>
      </c>
      <c r="B183" t="s">
        <v>32</v>
      </c>
      <c r="C183" t="s">
        <v>32</v>
      </c>
      <c r="D183" t="s">
        <v>32</v>
      </c>
      <c r="E183" t="s">
        <v>32</v>
      </c>
      <c r="F183" t="s">
        <v>35</v>
      </c>
      <c r="G183">
        <v>392</v>
      </c>
      <c r="H183">
        <v>0</v>
      </c>
      <c r="I183">
        <v>164</v>
      </c>
      <c r="J183">
        <v>35</v>
      </c>
      <c r="K183">
        <v>199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0.7</v>
      </c>
      <c r="S183">
        <v>0.21</v>
      </c>
      <c r="T183">
        <v>0.03</v>
      </c>
      <c r="U183">
        <v>1789.08</v>
      </c>
      <c r="V183">
        <v>0</v>
      </c>
      <c r="W183">
        <v>0</v>
      </c>
      <c r="X183">
        <v>0</v>
      </c>
      <c r="Y183">
        <v>1789.08</v>
      </c>
      <c r="Z183">
        <v>0</v>
      </c>
      <c r="AA183">
        <v>0</v>
      </c>
      <c r="AB183">
        <v>0</v>
      </c>
      <c r="AC183">
        <v>98.9</v>
      </c>
      <c r="AD183">
        <v>0</v>
      </c>
      <c r="AE183">
        <v>98.9</v>
      </c>
      <c r="AF183">
        <v>31</v>
      </c>
      <c r="AG183">
        <v>21</v>
      </c>
      <c r="AH183">
        <v>10</v>
      </c>
      <c r="AI183">
        <v>1</v>
      </c>
      <c r="AJ183">
        <v>20</v>
      </c>
      <c r="AK183">
        <v>7.5</v>
      </c>
      <c r="AL183">
        <v>0</v>
      </c>
      <c r="AM183">
        <v>0</v>
      </c>
      <c r="AN183">
        <v>0</v>
      </c>
      <c r="AO183">
        <v>1.23</v>
      </c>
      <c r="AP183">
        <v>0</v>
      </c>
      <c r="AQ183">
        <v>1.23</v>
      </c>
    </row>
    <row r="184" spans="1:43" hidden="1" x14ac:dyDescent="0.25">
      <c r="A184" s="1">
        <v>46143</v>
      </c>
      <c r="B184" t="s">
        <v>32</v>
      </c>
      <c r="C184" t="s">
        <v>32</v>
      </c>
      <c r="D184" t="s">
        <v>32</v>
      </c>
      <c r="E184" t="s">
        <v>32</v>
      </c>
      <c r="F184" t="s">
        <v>45</v>
      </c>
      <c r="G184">
        <v>0</v>
      </c>
      <c r="H184">
        <v>0</v>
      </c>
      <c r="I184">
        <v>0</v>
      </c>
      <c r="J184">
        <v>30</v>
      </c>
      <c r="K184">
        <v>30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0</v>
      </c>
      <c r="R184">
        <v>0.7</v>
      </c>
      <c r="S184">
        <v>0.21</v>
      </c>
      <c r="T184">
        <v>0.03</v>
      </c>
      <c r="U184">
        <v>1080</v>
      </c>
      <c r="V184">
        <v>0.7</v>
      </c>
      <c r="W184">
        <v>0.21</v>
      </c>
      <c r="X184">
        <v>0.03</v>
      </c>
      <c r="Y184">
        <v>1080</v>
      </c>
      <c r="Z184">
        <v>0</v>
      </c>
      <c r="AA184">
        <v>0</v>
      </c>
      <c r="AB184">
        <v>0</v>
      </c>
      <c r="AC184">
        <v>9</v>
      </c>
      <c r="AD184">
        <v>0</v>
      </c>
      <c r="AE184">
        <v>9</v>
      </c>
      <c r="AF184">
        <v>31</v>
      </c>
      <c r="AG184">
        <v>21</v>
      </c>
      <c r="AH184">
        <v>10</v>
      </c>
      <c r="AI184">
        <v>1</v>
      </c>
      <c r="AJ184">
        <v>20</v>
      </c>
      <c r="AK184">
        <v>7.5</v>
      </c>
      <c r="AL184">
        <v>0</v>
      </c>
      <c r="AM184">
        <v>0</v>
      </c>
      <c r="AN184">
        <v>0</v>
      </c>
      <c r="AO184">
        <v>0.11</v>
      </c>
      <c r="AP184">
        <v>0</v>
      </c>
      <c r="AQ184">
        <v>0.11</v>
      </c>
    </row>
    <row r="185" spans="1:43" x14ac:dyDescent="0.25">
      <c r="A185" s="1">
        <v>46143</v>
      </c>
      <c r="B185" t="s">
        <v>32</v>
      </c>
      <c r="C185" t="s">
        <v>36</v>
      </c>
      <c r="D185" t="s">
        <v>36</v>
      </c>
      <c r="E185" t="s">
        <v>32</v>
      </c>
      <c r="F185" t="s">
        <v>34</v>
      </c>
      <c r="G185">
        <v>2</v>
      </c>
      <c r="H185">
        <v>0</v>
      </c>
      <c r="I185">
        <v>2</v>
      </c>
      <c r="J185">
        <v>0</v>
      </c>
      <c r="K185">
        <v>2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0.7</v>
      </c>
      <c r="S185">
        <v>0.21</v>
      </c>
      <c r="T185">
        <v>0.03</v>
      </c>
      <c r="U185">
        <v>480.72</v>
      </c>
      <c r="V185">
        <v>0</v>
      </c>
      <c r="W185">
        <v>0</v>
      </c>
      <c r="X185">
        <v>0</v>
      </c>
      <c r="Y185">
        <v>480.72</v>
      </c>
      <c r="Z185">
        <v>0</v>
      </c>
      <c r="AA185">
        <v>0</v>
      </c>
      <c r="AB185">
        <v>0</v>
      </c>
      <c r="AC185">
        <v>0.27</v>
      </c>
      <c r="AD185">
        <v>0</v>
      </c>
      <c r="AE185">
        <v>0.27</v>
      </c>
      <c r="AF185">
        <v>31</v>
      </c>
      <c r="AG185">
        <v>21</v>
      </c>
      <c r="AH185">
        <v>10</v>
      </c>
      <c r="AI185">
        <v>1</v>
      </c>
      <c r="AJ185">
        <v>20</v>
      </c>
      <c r="AK185">
        <v>7.5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</row>
    <row r="186" spans="1:43" x14ac:dyDescent="0.25">
      <c r="A186" s="1">
        <v>46143</v>
      </c>
      <c r="B186" t="s">
        <v>32</v>
      </c>
      <c r="C186" t="s">
        <v>37</v>
      </c>
      <c r="D186" t="s">
        <v>37</v>
      </c>
      <c r="E186" t="s">
        <v>32</v>
      </c>
      <c r="F186" t="s">
        <v>34</v>
      </c>
      <c r="G186">
        <v>5</v>
      </c>
      <c r="H186">
        <v>0</v>
      </c>
      <c r="I186">
        <v>1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0</v>
      </c>
      <c r="R186">
        <v>0.7</v>
      </c>
      <c r="S186">
        <v>0.21</v>
      </c>
      <c r="T186">
        <v>0.03</v>
      </c>
      <c r="U186">
        <v>299.33</v>
      </c>
      <c r="V186">
        <v>0</v>
      </c>
      <c r="W186">
        <v>0</v>
      </c>
      <c r="X186">
        <v>0</v>
      </c>
      <c r="Y186">
        <v>299.33</v>
      </c>
      <c r="Z186">
        <v>0</v>
      </c>
      <c r="AA186">
        <v>0</v>
      </c>
      <c r="AB186">
        <v>0</v>
      </c>
      <c r="AC186">
        <v>0.08</v>
      </c>
      <c r="AD186">
        <v>0</v>
      </c>
      <c r="AE186">
        <v>0.08</v>
      </c>
      <c r="AF186">
        <v>31</v>
      </c>
      <c r="AG186">
        <v>21</v>
      </c>
      <c r="AH186">
        <v>10</v>
      </c>
      <c r="AI186">
        <v>1</v>
      </c>
      <c r="AJ186">
        <v>20</v>
      </c>
      <c r="AK186">
        <v>7.5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</row>
    <row r="187" spans="1:43" x14ac:dyDescent="0.25">
      <c r="A187" s="1">
        <v>46143</v>
      </c>
      <c r="B187" t="s">
        <v>32</v>
      </c>
      <c r="C187" t="s">
        <v>38</v>
      </c>
      <c r="D187" t="s">
        <v>38</v>
      </c>
      <c r="E187" t="s">
        <v>32</v>
      </c>
      <c r="F187" t="s">
        <v>34</v>
      </c>
      <c r="G187">
        <v>5561</v>
      </c>
      <c r="H187">
        <v>0</v>
      </c>
      <c r="I187">
        <v>3656</v>
      </c>
      <c r="J187">
        <v>-33</v>
      </c>
      <c r="K187">
        <v>3623</v>
      </c>
      <c r="L187">
        <v>0</v>
      </c>
      <c r="M187">
        <v>0</v>
      </c>
      <c r="N187">
        <v>0</v>
      </c>
      <c r="O187">
        <v>0</v>
      </c>
      <c r="P187">
        <v>0.53320000000000001</v>
      </c>
      <c r="Q187">
        <v>0.46679999999999999</v>
      </c>
      <c r="R187">
        <v>0.7</v>
      </c>
      <c r="S187">
        <v>0.21</v>
      </c>
      <c r="T187">
        <v>0.03</v>
      </c>
      <c r="U187">
        <v>602.35</v>
      </c>
      <c r="V187">
        <v>0.7</v>
      </c>
      <c r="W187">
        <v>0.21</v>
      </c>
      <c r="X187">
        <v>0.03</v>
      </c>
      <c r="Y187">
        <v>602.35</v>
      </c>
      <c r="Z187">
        <v>0</v>
      </c>
      <c r="AA187">
        <v>0</v>
      </c>
      <c r="AB187">
        <v>0</v>
      </c>
      <c r="AC187">
        <v>323.22000000000003</v>
      </c>
      <c r="AD187">
        <v>282.97000000000003</v>
      </c>
      <c r="AE187">
        <v>606.20000000000005</v>
      </c>
      <c r="AF187">
        <v>31</v>
      </c>
      <c r="AG187">
        <v>21</v>
      </c>
      <c r="AH187">
        <v>10</v>
      </c>
      <c r="AI187">
        <v>1</v>
      </c>
      <c r="AJ187">
        <v>20</v>
      </c>
      <c r="AK187">
        <v>7.5</v>
      </c>
      <c r="AL187">
        <v>0</v>
      </c>
      <c r="AM187">
        <v>0</v>
      </c>
      <c r="AN187">
        <v>0</v>
      </c>
      <c r="AO187">
        <v>4.01</v>
      </c>
      <c r="AP187">
        <v>3.51</v>
      </c>
      <c r="AQ187">
        <v>7.52</v>
      </c>
    </row>
    <row r="188" spans="1:43" x14ac:dyDescent="0.25">
      <c r="A188" s="1">
        <v>46143</v>
      </c>
      <c r="B188" t="s">
        <v>32</v>
      </c>
      <c r="C188" t="s">
        <v>39</v>
      </c>
      <c r="D188" t="s">
        <v>39</v>
      </c>
      <c r="E188" t="s">
        <v>32</v>
      </c>
      <c r="F188" t="s">
        <v>34</v>
      </c>
      <c r="G188">
        <v>368</v>
      </c>
      <c r="H188">
        <v>0</v>
      </c>
      <c r="I188">
        <v>67</v>
      </c>
      <c r="J188">
        <v>0</v>
      </c>
      <c r="K188">
        <v>67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0</v>
      </c>
      <c r="R188">
        <v>0.7</v>
      </c>
      <c r="S188">
        <v>0.21</v>
      </c>
      <c r="T188">
        <v>0.03</v>
      </c>
      <c r="U188">
        <v>462.54</v>
      </c>
      <c r="V188">
        <v>0</v>
      </c>
      <c r="W188">
        <v>0</v>
      </c>
      <c r="X188">
        <v>0</v>
      </c>
      <c r="Y188">
        <v>462.54</v>
      </c>
      <c r="Z188">
        <v>0</v>
      </c>
      <c r="AA188">
        <v>0</v>
      </c>
      <c r="AB188">
        <v>0</v>
      </c>
      <c r="AC188">
        <v>8.61</v>
      </c>
      <c r="AD188">
        <v>0</v>
      </c>
      <c r="AE188">
        <v>8.61</v>
      </c>
      <c r="AF188">
        <v>31</v>
      </c>
      <c r="AG188">
        <v>21</v>
      </c>
      <c r="AH188">
        <v>10</v>
      </c>
      <c r="AI188">
        <v>1</v>
      </c>
      <c r="AJ188">
        <v>20</v>
      </c>
      <c r="AK188">
        <v>7.5</v>
      </c>
      <c r="AL188">
        <v>0</v>
      </c>
      <c r="AM188">
        <v>0</v>
      </c>
      <c r="AN188">
        <v>0</v>
      </c>
      <c r="AO188">
        <v>0.11</v>
      </c>
      <c r="AP188">
        <v>0</v>
      </c>
      <c r="AQ188">
        <v>0.11</v>
      </c>
    </row>
    <row r="189" spans="1:43" x14ac:dyDescent="0.25">
      <c r="A189" s="1">
        <v>46143</v>
      </c>
      <c r="B189" t="s">
        <v>32</v>
      </c>
      <c r="C189" t="s">
        <v>40</v>
      </c>
      <c r="D189" t="s">
        <v>40</v>
      </c>
      <c r="E189" t="s">
        <v>32</v>
      </c>
      <c r="F189" t="s">
        <v>34</v>
      </c>
      <c r="G189">
        <v>54</v>
      </c>
      <c r="H189">
        <v>0</v>
      </c>
      <c r="I189">
        <v>44</v>
      </c>
      <c r="J189">
        <v>0</v>
      </c>
      <c r="K189">
        <v>44</v>
      </c>
      <c r="L189">
        <v>0</v>
      </c>
      <c r="M189">
        <v>0</v>
      </c>
      <c r="N189">
        <v>0</v>
      </c>
      <c r="O189">
        <v>0</v>
      </c>
      <c r="P189">
        <v>0.1043</v>
      </c>
      <c r="Q189">
        <v>0.89570000000000005</v>
      </c>
      <c r="R189">
        <v>0.7</v>
      </c>
      <c r="S189">
        <v>0.21</v>
      </c>
      <c r="T189">
        <v>0.03</v>
      </c>
      <c r="U189">
        <v>653.49</v>
      </c>
      <c r="V189">
        <v>0.7</v>
      </c>
      <c r="W189">
        <v>0.21</v>
      </c>
      <c r="X189">
        <v>0.03</v>
      </c>
      <c r="Y189">
        <v>653.49</v>
      </c>
      <c r="Z189">
        <v>0</v>
      </c>
      <c r="AA189">
        <v>0</v>
      </c>
      <c r="AB189">
        <v>0</v>
      </c>
      <c r="AC189">
        <v>0.83</v>
      </c>
      <c r="AD189">
        <v>7.15</v>
      </c>
      <c r="AE189">
        <v>7.99</v>
      </c>
      <c r="AF189">
        <v>31</v>
      </c>
      <c r="AG189">
        <v>21</v>
      </c>
      <c r="AH189">
        <v>10</v>
      </c>
      <c r="AI189">
        <v>1</v>
      </c>
      <c r="AJ189">
        <v>20</v>
      </c>
      <c r="AK189">
        <v>7.5</v>
      </c>
      <c r="AL189">
        <v>0</v>
      </c>
      <c r="AM189">
        <v>0</v>
      </c>
      <c r="AN189">
        <v>0</v>
      </c>
      <c r="AO189">
        <v>0.01</v>
      </c>
      <c r="AP189">
        <v>0.09</v>
      </c>
      <c r="AQ189">
        <v>9.9999999999999895E-2</v>
      </c>
    </row>
    <row r="190" spans="1:43" x14ac:dyDescent="0.25">
      <c r="A190" s="1">
        <v>46143</v>
      </c>
      <c r="B190" t="s">
        <v>32</v>
      </c>
      <c r="C190" t="s">
        <v>41</v>
      </c>
      <c r="D190" t="s">
        <v>41</v>
      </c>
      <c r="E190" t="s">
        <v>32</v>
      </c>
      <c r="F190" t="s">
        <v>34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125</v>
      </c>
      <c r="Z190">
        <v>0</v>
      </c>
      <c r="AA190" t="s">
        <v>125</v>
      </c>
      <c r="AB190" t="s">
        <v>125</v>
      </c>
      <c r="AC190">
        <v>0</v>
      </c>
      <c r="AD190" t="s">
        <v>125</v>
      </c>
      <c r="AE190" t="s">
        <v>125</v>
      </c>
      <c r="AF190">
        <v>31</v>
      </c>
      <c r="AG190">
        <v>21</v>
      </c>
      <c r="AH190">
        <v>10</v>
      </c>
      <c r="AI190">
        <v>1</v>
      </c>
      <c r="AJ190">
        <v>20</v>
      </c>
      <c r="AK190">
        <v>7.5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</row>
    <row r="191" spans="1:43" x14ac:dyDescent="0.25">
      <c r="A191" s="1">
        <v>46143</v>
      </c>
      <c r="B191" t="s">
        <v>32</v>
      </c>
      <c r="C191" t="s">
        <v>42</v>
      </c>
      <c r="D191" t="s">
        <v>42</v>
      </c>
      <c r="E191" t="s">
        <v>32</v>
      </c>
      <c r="F191" t="s">
        <v>34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125</v>
      </c>
      <c r="Z191">
        <v>0</v>
      </c>
      <c r="AA191" t="s">
        <v>125</v>
      </c>
      <c r="AB191" t="s">
        <v>125</v>
      </c>
      <c r="AC191">
        <v>0</v>
      </c>
      <c r="AD191" t="s">
        <v>125</v>
      </c>
      <c r="AE191" t="s">
        <v>125</v>
      </c>
      <c r="AF191">
        <v>31</v>
      </c>
      <c r="AG191">
        <v>21</v>
      </c>
      <c r="AH191">
        <v>10</v>
      </c>
      <c r="AI191">
        <v>1</v>
      </c>
      <c r="AJ191">
        <v>20</v>
      </c>
      <c r="AK191">
        <v>7.5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</row>
    <row r="192" spans="1:43" x14ac:dyDescent="0.25">
      <c r="A192" s="1">
        <v>46143</v>
      </c>
      <c r="B192" t="s">
        <v>32</v>
      </c>
      <c r="C192" t="s">
        <v>43</v>
      </c>
      <c r="D192" t="s">
        <v>43</v>
      </c>
      <c r="E192" t="s">
        <v>32</v>
      </c>
      <c r="F192" t="s">
        <v>34</v>
      </c>
      <c r="G192">
        <v>0</v>
      </c>
      <c r="H192">
        <v>0</v>
      </c>
      <c r="I192">
        <v>2</v>
      </c>
      <c r="J192">
        <v>0</v>
      </c>
      <c r="K192">
        <v>2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0</v>
      </c>
      <c r="R192">
        <v>0.7</v>
      </c>
      <c r="S192">
        <v>0.21</v>
      </c>
      <c r="T192">
        <v>0.03</v>
      </c>
      <c r="U192">
        <v>344.84</v>
      </c>
      <c r="V192">
        <v>0</v>
      </c>
      <c r="W192">
        <v>0</v>
      </c>
      <c r="X192">
        <v>0</v>
      </c>
      <c r="Y192">
        <v>344.84</v>
      </c>
      <c r="Z192">
        <v>0</v>
      </c>
      <c r="AA192">
        <v>0</v>
      </c>
      <c r="AB192">
        <v>0</v>
      </c>
      <c r="AC192">
        <v>0.19</v>
      </c>
      <c r="AD192">
        <v>0</v>
      </c>
      <c r="AE192">
        <v>0.19</v>
      </c>
      <c r="AF192">
        <v>31</v>
      </c>
      <c r="AG192">
        <v>21</v>
      </c>
      <c r="AH192">
        <v>10</v>
      </c>
      <c r="AI192">
        <v>1</v>
      </c>
      <c r="AJ192">
        <v>20</v>
      </c>
      <c r="AK192">
        <v>7.5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</row>
    <row r="193" spans="1:43" x14ac:dyDescent="0.25">
      <c r="A193" s="1">
        <v>46143</v>
      </c>
      <c r="B193" t="s">
        <v>32</v>
      </c>
      <c r="C193" t="s">
        <v>44</v>
      </c>
      <c r="D193" t="s">
        <v>44</v>
      </c>
      <c r="E193" t="s">
        <v>32</v>
      </c>
      <c r="F193" t="s">
        <v>34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0</v>
      </c>
      <c r="R193">
        <v>0.7</v>
      </c>
      <c r="S193">
        <v>0.21</v>
      </c>
      <c r="T193">
        <v>0.03</v>
      </c>
      <c r="U193">
        <v>0</v>
      </c>
      <c r="V193">
        <v>0</v>
      </c>
      <c r="W193">
        <v>0</v>
      </c>
      <c r="X193">
        <v>0</v>
      </c>
      <c r="Y193" t="s">
        <v>125</v>
      </c>
      <c r="Z193">
        <v>0</v>
      </c>
      <c r="AA193" t="s">
        <v>125</v>
      </c>
      <c r="AB193" t="s">
        <v>125</v>
      </c>
      <c r="AC193">
        <v>0</v>
      </c>
      <c r="AD193" t="s">
        <v>125</v>
      </c>
      <c r="AE193" t="s">
        <v>125</v>
      </c>
      <c r="AF193">
        <v>31</v>
      </c>
      <c r="AG193">
        <v>21</v>
      </c>
      <c r="AH193">
        <v>10</v>
      </c>
      <c r="AI193">
        <v>1</v>
      </c>
      <c r="AJ193">
        <v>20</v>
      </c>
      <c r="AK193">
        <v>7.5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</row>
    <row r="194" spans="1:43" hidden="1" x14ac:dyDescent="0.25">
      <c r="A194" s="1">
        <v>46174</v>
      </c>
      <c r="B194" t="s">
        <v>32</v>
      </c>
      <c r="C194" t="s">
        <v>33</v>
      </c>
      <c r="D194" t="s">
        <v>33</v>
      </c>
      <c r="E194" t="s">
        <v>32</v>
      </c>
      <c r="F194" t="s">
        <v>34</v>
      </c>
      <c r="G194">
        <v>32</v>
      </c>
      <c r="H194">
        <v>0</v>
      </c>
      <c r="I194">
        <v>31</v>
      </c>
      <c r="J194">
        <v>0</v>
      </c>
      <c r="K194">
        <v>31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0.7</v>
      </c>
      <c r="S194">
        <v>0.21</v>
      </c>
      <c r="T194">
        <v>0.03</v>
      </c>
      <c r="U194">
        <v>286.55</v>
      </c>
      <c r="V194">
        <v>0</v>
      </c>
      <c r="W194">
        <v>0</v>
      </c>
      <c r="X194">
        <v>0</v>
      </c>
      <c r="Y194">
        <v>286.55</v>
      </c>
      <c r="Z194">
        <v>0</v>
      </c>
      <c r="AA194">
        <v>0</v>
      </c>
      <c r="AB194">
        <v>0</v>
      </c>
      <c r="AC194">
        <v>2.4700000000000002</v>
      </c>
      <c r="AD194">
        <v>0</v>
      </c>
      <c r="AE194">
        <v>2.4700000000000002</v>
      </c>
      <c r="AF194">
        <v>30</v>
      </c>
      <c r="AG194">
        <v>22</v>
      </c>
      <c r="AH194">
        <v>8</v>
      </c>
      <c r="AI194">
        <v>1</v>
      </c>
      <c r="AJ194">
        <v>21</v>
      </c>
      <c r="AK194">
        <v>7.5</v>
      </c>
      <c r="AL194">
        <v>0</v>
      </c>
      <c r="AM194">
        <v>0</v>
      </c>
      <c r="AN194">
        <v>0</v>
      </c>
      <c r="AO194">
        <v>0.03</v>
      </c>
      <c r="AP194">
        <v>0</v>
      </c>
      <c r="AQ194">
        <v>0.03</v>
      </c>
    </row>
    <row r="195" spans="1:43" hidden="1" x14ac:dyDescent="0.25">
      <c r="A195" s="1">
        <v>46174</v>
      </c>
      <c r="B195" t="s">
        <v>32</v>
      </c>
      <c r="C195" t="s">
        <v>32</v>
      </c>
      <c r="D195" t="s">
        <v>32</v>
      </c>
      <c r="E195" t="s">
        <v>32</v>
      </c>
      <c r="F195" t="s">
        <v>35</v>
      </c>
      <c r="G195">
        <v>407</v>
      </c>
      <c r="H195">
        <v>0</v>
      </c>
      <c r="I195">
        <v>171</v>
      </c>
      <c r="J195">
        <v>43</v>
      </c>
      <c r="K195">
        <v>214</v>
      </c>
      <c r="L195">
        <v>0</v>
      </c>
      <c r="M195">
        <v>0</v>
      </c>
      <c r="N195">
        <v>0</v>
      </c>
      <c r="O195">
        <v>0</v>
      </c>
      <c r="P195">
        <v>1</v>
      </c>
      <c r="Q195">
        <v>0</v>
      </c>
      <c r="R195">
        <v>0.7</v>
      </c>
      <c r="S195">
        <v>0.21</v>
      </c>
      <c r="T195">
        <v>0.03</v>
      </c>
      <c r="U195">
        <v>1789.08</v>
      </c>
      <c r="V195">
        <v>0</v>
      </c>
      <c r="W195">
        <v>0</v>
      </c>
      <c r="X195">
        <v>0</v>
      </c>
      <c r="Y195">
        <v>1789.08</v>
      </c>
      <c r="Z195">
        <v>0</v>
      </c>
      <c r="AA195">
        <v>0</v>
      </c>
      <c r="AB195">
        <v>0</v>
      </c>
      <c r="AC195">
        <v>106.35</v>
      </c>
      <c r="AD195">
        <v>0</v>
      </c>
      <c r="AE195">
        <v>106.35</v>
      </c>
      <c r="AF195">
        <v>30</v>
      </c>
      <c r="AG195">
        <v>22</v>
      </c>
      <c r="AH195">
        <v>8</v>
      </c>
      <c r="AI195">
        <v>1</v>
      </c>
      <c r="AJ195">
        <v>21</v>
      </c>
      <c r="AK195">
        <v>7.5</v>
      </c>
      <c r="AL195">
        <v>0</v>
      </c>
      <c r="AM195">
        <v>0</v>
      </c>
      <c r="AN195">
        <v>0</v>
      </c>
      <c r="AO195">
        <v>1.26</v>
      </c>
      <c r="AP195">
        <v>0</v>
      </c>
      <c r="AQ195">
        <v>1.26</v>
      </c>
    </row>
    <row r="196" spans="1:43" hidden="1" x14ac:dyDescent="0.25">
      <c r="A196" s="1">
        <v>46174</v>
      </c>
      <c r="B196" t="s">
        <v>32</v>
      </c>
      <c r="C196" t="s">
        <v>32</v>
      </c>
      <c r="D196" t="s">
        <v>32</v>
      </c>
      <c r="E196" t="s">
        <v>32</v>
      </c>
      <c r="F196" t="s">
        <v>45</v>
      </c>
      <c r="G196">
        <v>0</v>
      </c>
      <c r="H196">
        <v>0</v>
      </c>
      <c r="I196">
        <v>0</v>
      </c>
      <c r="J196">
        <v>20</v>
      </c>
      <c r="K196">
        <v>20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0</v>
      </c>
      <c r="R196">
        <v>0.7</v>
      </c>
      <c r="S196">
        <v>0.21</v>
      </c>
      <c r="T196">
        <v>0.03</v>
      </c>
      <c r="U196">
        <v>1080</v>
      </c>
      <c r="V196">
        <v>0.7</v>
      </c>
      <c r="W196">
        <v>0.21</v>
      </c>
      <c r="X196">
        <v>0.03</v>
      </c>
      <c r="Y196">
        <v>1080</v>
      </c>
      <c r="Z196">
        <v>0</v>
      </c>
      <c r="AA196">
        <v>0</v>
      </c>
      <c r="AB196">
        <v>0</v>
      </c>
      <c r="AC196">
        <v>6</v>
      </c>
      <c r="AD196">
        <v>0</v>
      </c>
      <c r="AE196">
        <v>6</v>
      </c>
      <c r="AF196">
        <v>30</v>
      </c>
      <c r="AG196">
        <v>22</v>
      </c>
      <c r="AH196">
        <v>8</v>
      </c>
      <c r="AI196">
        <v>1</v>
      </c>
      <c r="AJ196">
        <v>21</v>
      </c>
      <c r="AK196">
        <v>7.5</v>
      </c>
      <c r="AL196">
        <v>0</v>
      </c>
      <c r="AM196">
        <v>0</v>
      </c>
      <c r="AN196">
        <v>0</v>
      </c>
      <c r="AO196">
        <v>7.0000000000000007E-2</v>
      </c>
      <c r="AP196">
        <v>0</v>
      </c>
      <c r="AQ196">
        <v>7.0000000000000007E-2</v>
      </c>
    </row>
    <row r="197" spans="1:43" hidden="1" x14ac:dyDescent="0.25">
      <c r="A197" s="1">
        <v>46174</v>
      </c>
      <c r="B197" t="s">
        <v>32</v>
      </c>
      <c r="C197" t="s">
        <v>36</v>
      </c>
      <c r="D197" t="s">
        <v>36</v>
      </c>
      <c r="E197" t="s">
        <v>32</v>
      </c>
      <c r="F197" t="s">
        <v>34</v>
      </c>
      <c r="G197">
        <v>4</v>
      </c>
      <c r="H197">
        <v>0</v>
      </c>
      <c r="I197">
        <v>5</v>
      </c>
      <c r="J197">
        <v>0</v>
      </c>
      <c r="K197">
        <v>5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0.7</v>
      </c>
      <c r="S197">
        <v>0.21</v>
      </c>
      <c r="T197">
        <v>0.03</v>
      </c>
      <c r="U197">
        <v>480.72</v>
      </c>
      <c r="V197">
        <v>0</v>
      </c>
      <c r="W197">
        <v>0</v>
      </c>
      <c r="X197">
        <v>0</v>
      </c>
      <c r="Y197">
        <v>480.72</v>
      </c>
      <c r="Z197">
        <v>0</v>
      </c>
      <c r="AA197">
        <v>0</v>
      </c>
      <c r="AB197">
        <v>0</v>
      </c>
      <c r="AC197">
        <v>0.67</v>
      </c>
      <c r="AD197">
        <v>0</v>
      </c>
      <c r="AE197">
        <v>0.67</v>
      </c>
      <c r="AF197">
        <v>30</v>
      </c>
      <c r="AG197">
        <v>22</v>
      </c>
      <c r="AH197">
        <v>8</v>
      </c>
      <c r="AI197">
        <v>1</v>
      </c>
      <c r="AJ197">
        <v>21</v>
      </c>
      <c r="AK197">
        <v>7.5</v>
      </c>
      <c r="AL197">
        <v>0</v>
      </c>
      <c r="AM197">
        <v>0</v>
      </c>
      <c r="AN197">
        <v>0</v>
      </c>
      <c r="AO197">
        <v>0.01</v>
      </c>
      <c r="AP197">
        <v>0</v>
      </c>
      <c r="AQ197">
        <v>0.01</v>
      </c>
    </row>
    <row r="198" spans="1:43" hidden="1" x14ac:dyDescent="0.25">
      <c r="A198" s="1">
        <v>46174</v>
      </c>
      <c r="B198" t="s">
        <v>32</v>
      </c>
      <c r="C198" t="s">
        <v>37</v>
      </c>
      <c r="D198" t="s">
        <v>37</v>
      </c>
      <c r="E198" t="s">
        <v>32</v>
      </c>
      <c r="F198" t="s">
        <v>34</v>
      </c>
      <c r="G198">
        <v>0</v>
      </c>
      <c r="H198">
        <v>0</v>
      </c>
      <c r="I198">
        <v>1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1</v>
      </c>
      <c r="Q198">
        <v>0</v>
      </c>
      <c r="R198">
        <v>0.7</v>
      </c>
      <c r="S198">
        <v>0.21</v>
      </c>
      <c r="T198">
        <v>0.03</v>
      </c>
      <c r="U198">
        <v>299.33</v>
      </c>
      <c r="V198">
        <v>0</v>
      </c>
      <c r="W198">
        <v>0</v>
      </c>
      <c r="X198">
        <v>0</v>
      </c>
      <c r="Y198">
        <v>299.33</v>
      </c>
      <c r="Z198">
        <v>0</v>
      </c>
      <c r="AA198">
        <v>0</v>
      </c>
      <c r="AB198">
        <v>0</v>
      </c>
      <c r="AC198">
        <v>0.08</v>
      </c>
      <c r="AD198">
        <v>0</v>
      </c>
      <c r="AE198">
        <v>0.08</v>
      </c>
      <c r="AF198">
        <v>30</v>
      </c>
      <c r="AG198">
        <v>22</v>
      </c>
      <c r="AH198">
        <v>8</v>
      </c>
      <c r="AI198">
        <v>1</v>
      </c>
      <c r="AJ198">
        <v>21</v>
      </c>
      <c r="AK198">
        <v>7.5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</row>
    <row r="199" spans="1:43" hidden="1" x14ac:dyDescent="0.25">
      <c r="A199" s="1">
        <v>46174</v>
      </c>
      <c r="B199" t="s">
        <v>32</v>
      </c>
      <c r="C199" t="s">
        <v>38</v>
      </c>
      <c r="D199" t="s">
        <v>38</v>
      </c>
      <c r="E199" t="s">
        <v>32</v>
      </c>
      <c r="F199" t="s">
        <v>34</v>
      </c>
      <c r="G199">
        <v>4636</v>
      </c>
      <c r="H199">
        <v>0</v>
      </c>
      <c r="I199">
        <v>3858</v>
      </c>
      <c r="J199">
        <v>-118</v>
      </c>
      <c r="K199">
        <v>3740</v>
      </c>
      <c r="L199">
        <v>0</v>
      </c>
      <c r="M199">
        <v>0</v>
      </c>
      <c r="N199">
        <v>0</v>
      </c>
      <c r="O199">
        <v>0</v>
      </c>
      <c r="P199">
        <v>0.53320000000000001</v>
      </c>
      <c r="Q199">
        <v>0.46679999999999999</v>
      </c>
      <c r="R199">
        <v>0.7</v>
      </c>
      <c r="S199">
        <v>0.21</v>
      </c>
      <c r="T199">
        <v>0.03</v>
      </c>
      <c r="U199">
        <v>602.35</v>
      </c>
      <c r="V199">
        <v>0.7</v>
      </c>
      <c r="W199">
        <v>0.21</v>
      </c>
      <c r="X199">
        <v>0.03</v>
      </c>
      <c r="Y199">
        <v>602.35</v>
      </c>
      <c r="Z199">
        <v>0</v>
      </c>
      <c r="AA199">
        <v>0</v>
      </c>
      <c r="AB199">
        <v>0</v>
      </c>
      <c r="AC199">
        <v>333.66</v>
      </c>
      <c r="AD199">
        <v>292.11</v>
      </c>
      <c r="AE199">
        <v>625.77</v>
      </c>
      <c r="AF199">
        <v>30</v>
      </c>
      <c r="AG199">
        <v>22</v>
      </c>
      <c r="AH199">
        <v>8</v>
      </c>
      <c r="AI199">
        <v>1</v>
      </c>
      <c r="AJ199">
        <v>21</v>
      </c>
      <c r="AK199">
        <v>7.5</v>
      </c>
      <c r="AL199">
        <v>0</v>
      </c>
      <c r="AM199">
        <v>0</v>
      </c>
      <c r="AN199">
        <v>0</v>
      </c>
      <c r="AO199">
        <v>3.95</v>
      </c>
      <c r="AP199">
        <v>3.45</v>
      </c>
      <c r="AQ199">
        <v>7.4</v>
      </c>
    </row>
    <row r="200" spans="1:43" hidden="1" x14ac:dyDescent="0.25">
      <c r="A200" s="1">
        <v>46174</v>
      </c>
      <c r="B200" t="s">
        <v>32</v>
      </c>
      <c r="C200" t="s">
        <v>39</v>
      </c>
      <c r="D200" t="s">
        <v>39</v>
      </c>
      <c r="E200" t="s">
        <v>32</v>
      </c>
      <c r="F200" t="s">
        <v>34</v>
      </c>
      <c r="G200">
        <v>433</v>
      </c>
      <c r="H200">
        <v>0</v>
      </c>
      <c r="I200">
        <v>57</v>
      </c>
      <c r="J200">
        <v>0</v>
      </c>
      <c r="K200">
        <v>57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0.7</v>
      </c>
      <c r="S200">
        <v>0.21</v>
      </c>
      <c r="T200">
        <v>0.03</v>
      </c>
      <c r="U200">
        <v>462.54</v>
      </c>
      <c r="V200">
        <v>0</v>
      </c>
      <c r="W200">
        <v>0</v>
      </c>
      <c r="X200">
        <v>0</v>
      </c>
      <c r="Y200">
        <v>462.54</v>
      </c>
      <c r="Z200">
        <v>0</v>
      </c>
      <c r="AA200">
        <v>0</v>
      </c>
      <c r="AB200">
        <v>0</v>
      </c>
      <c r="AC200">
        <v>7.32</v>
      </c>
      <c r="AD200">
        <v>0</v>
      </c>
      <c r="AE200">
        <v>7.32</v>
      </c>
      <c r="AF200">
        <v>30</v>
      </c>
      <c r="AG200">
        <v>22</v>
      </c>
      <c r="AH200">
        <v>8</v>
      </c>
      <c r="AI200">
        <v>1</v>
      </c>
      <c r="AJ200">
        <v>21</v>
      </c>
      <c r="AK200">
        <v>7.5</v>
      </c>
      <c r="AL200">
        <v>0</v>
      </c>
      <c r="AM200">
        <v>0</v>
      </c>
      <c r="AN200">
        <v>0</v>
      </c>
      <c r="AO200">
        <v>0.09</v>
      </c>
      <c r="AP200">
        <v>0</v>
      </c>
      <c r="AQ200">
        <v>0.09</v>
      </c>
    </row>
    <row r="201" spans="1:43" hidden="1" x14ac:dyDescent="0.25">
      <c r="A201" s="1">
        <v>46174</v>
      </c>
      <c r="B201" t="s">
        <v>32</v>
      </c>
      <c r="C201" t="s">
        <v>40</v>
      </c>
      <c r="D201" t="s">
        <v>40</v>
      </c>
      <c r="E201" t="s">
        <v>32</v>
      </c>
      <c r="F201" t="s">
        <v>34</v>
      </c>
      <c r="G201">
        <v>65</v>
      </c>
      <c r="H201">
        <v>0</v>
      </c>
      <c r="I201">
        <v>44</v>
      </c>
      <c r="J201">
        <v>0</v>
      </c>
      <c r="K201">
        <v>44</v>
      </c>
      <c r="L201">
        <v>0</v>
      </c>
      <c r="M201">
        <v>0</v>
      </c>
      <c r="N201">
        <v>0</v>
      </c>
      <c r="O201">
        <v>0</v>
      </c>
      <c r="P201">
        <v>0.1043</v>
      </c>
      <c r="Q201">
        <v>0.89570000000000005</v>
      </c>
      <c r="R201">
        <v>0.7</v>
      </c>
      <c r="S201">
        <v>0.21</v>
      </c>
      <c r="T201">
        <v>0.03</v>
      </c>
      <c r="U201">
        <v>653.49</v>
      </c>
      <c r="V201">
        <v>0.7</v>
      </c>
      <c r="W201">
        <v>0.21</v>
      </c>
      <c r="X201">
        <v>0.03</v>
      </c>
      <c r="Y201">
        <v>653.49</v>
      </c>
      <c r="Z201">
        <v>0</v>
      </c>
      <c r="AA201">
        <v>0</v>
      </c>
      <c r="AB201">
        <v>0</v>
      </c>
      <c r="AC201">
        <v>0.83</v>
      </c>
      <c r="AD201">
        <v>7.15</v>
      </c>
      <c r="AE201">
        <v>7.99</v>
      </c>
      <c r="AF201">
        <v>30</v>
      </c>
      <c r="AG201">
        <v>22</v>
      </c>
      <c r="AH201">
        <v>8</v>
      </c>
      <c r="AI201">
        <v>1</v>
      </c>
      <c r="AJ201">
        <v>21</v>
      </c>
      <c r="AK201">
        <v>7.5</v>
      </c>
      <c r="AL201">
        <v>0</v>
      </c>
      <c r="AM201">
        <v>0</v>
      </c>
      <c r="AN201">
        <v>0</v>
      </c>
      <c r="AO201">
        <v>0.01</v>
      </c>
      <c r="AP201">
        <v>0.08</v>
      </c>
      <c r="AQ201">
        <v>0.09</v>
      </c>
    </row>
    <row r="202" spans="1:43" hidden="1" x14ac:dyDescent="0.25">
      <c r="A202" s="1">
        <v>46174</v>
      </c>
      <c r="B202" t="s">
        <v>32</v>
      </c>
      <c r="C202" t="s">
        <v>41</v>
      </c>
      <c r="D202" t="s">
        <v>41</v>
      </c>
      <c r="E202" t="s">
        <v>32</v>
      </c>
      <c r="F202" t="s">
        <v>34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125</v>
      </c>
      <c r="Z202">
        <v>0</v>
      </c>
      <c r="AA202" t="s">
        <v>125</v>
      </c>
      <c r="AB202" t="s">
        <v>125</v>
      </c>
      <c r="AC202">
        <v>0</v>
      </c>
      <c r="AD202" t="s">
        <v>125</v>
      </c>
      <c r="AE202" t="s">
        <v>125</v>
      </c>
      <c r="AF202">
        <v>30</v>
      </c>
      <c r="AG202">
        <v>22</v>
      </c>
      <c r="AH202">
        <v>8</v>
      </c>
      <c r="AI202">
        <v>1</v>
      </c>
      <c r="AJ202">
        <v>21</v>
      </c>
      <c r="AK202">
        <v>7.5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</row>
    <row r="203" spans="1:43" hidden="1" x14ac:dyDescent="0.25">
      <c r="A203" s="1">
        <v>46174</v>
      </c>
      <c r="B203" t="s">
        <v>32</v>
      </c>
      <c r="C203" t="s">
        <v>42</v>
      </c>
      <c r="D203" t="s">
        <v>42</v>
      </c>
      <c r="E203" t="s">
        <v>32</v>
      </c>
      <c r="F203" t="s">
        <v>34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125</v>
      </c>
      <c r="Z203">
        <v>0</v>
      </c>
      <c r="AA203" t="s">
        <v>125</v>
      </c>
      <c r="AB203" t="s">
        <v>125</v>
      </c>
      <c r="AC203">
        <v>0</v>
      </c>
      <c r="AD203" t="s">
        <v>125</v>
      </c>
      <c r="AE203" t="s">
        <v>125</v>
      </c>
      <c r="AF203">
        <v>30</v>
      </c>
      <c r="AG203">
        <v>22</v>
      </c>
      <c r="AH203">
        <v>8</v>
      </c>
      <c r="AI203">
        <v>1</v>
      </c>
      <c r="AJ203">
        <v>21</v>
      </c>
      <c r="AK203">
        <v>7.5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</row>
    <row r="204" spans="1:43" hidden="1" x14ac:dyDescent="0.25">
      <c r="A204" s="1">
        <v>46174</v>
      </c>
      <c r="B204" t="s">
        <v>32</v>
      </c>
      <c r="C204" t="s">
        <v>43</v>
      </c>
      <c r="D204" t="s">
        <v>43</v>
      </c>
      <c r="E204" t="s">
        <v>32</v>
      </c>
      <c r="F204" t="s">
        <v>34</v>
      </c>
      <c r="G204">
        <v>2</v>
      </c>
      <c r="H204">
        <v>0</v>
      </c>
      <c r="I204">
        <v>2</v>
      </c>
      <c r="J204">
        <v>0</v>
      </c>
      <c r="K204">
        <v>2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0</v>
      </c>
      <c r="R204">
        <v>0.7</v>
      </c>
      <c r="S204">
        <v>0.21</v>
      </c>
      <c r="T204">
        <v>0.03</v>
      </c>
      <c r="U204">
        <v>344.84</v>
      </c>
      <c r="V204">
        <v>0</v>
      </c>
      <c r="W204">
        <v>0</v>
      </c>
      <c r="X204">
        <v>0</v>
      </c>
      <c r="Y204">
        <v>344.84</v>
      </c>
      <c r="Z204">
        <v>0</v>
      </c>
      <c r="AA204">
        <v>0</v>
      </c>
      <c r="AB204">
        <v>0</v>
      </c>
      <c r="AC204">
        <v>0.19</v>
      </c>
      <c r="AD204">
        <v>0</v>
      </c>
      <c r="AE204">
        <v>0.19</v>
      </c>
      <c r="AF204">
        <v>30</v>
      </c>
      <c r="AG204">
        <v>22</v>
      </c>
      <c r="AH204">
        <v>8</v>
      </c>
      <c r="AI204">
        <v>1</v>
      </c>
      <c r="AJ204">
        <v>21</v>
      </c>
      <c r="AK204">
        <v>7.5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</row>
    <row r="205" spans="1:43" hidden="1" x14ac:dyDescent="0.25">
      <c r="A205" s="1">
        <v>46174</v>
      </c>
      <c r="B205" t="s">
        <v>32</v>
      </c>
      <c r="C205" t="s">
        <v>44</v>
      </c>
      <c r="D205" t="s">
        <v>44</v>
      </c>
      <c r="E205" t="s">
        <v>32</v>
      </c>
      <c r="F205" t="s">
        <v>34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0.7</v>
      </c>
      <c r="S205">
        <v>0.21</v>
      </c>
      <c r="T205">
        <v>0.03</v>
      </c>
      <c r="U205">
        <v>0</v>
      </c>
      <c r="V205">
        <v>0</v>
      </c>
      <c r="W205">
        <v>0</v>
      </c>
      <c r="X205">
        <v>0</v>
      </c>
      <c r="Y205" t="s">
        <v>125</v>
      </c>
      <c r="Z205">
        <v>0</v>
      </c>
      <c r="AA205" t="s">
        <v>125</v>
      </c>
      <c r="AB205" t="s">
        <v>125</v>
      </c>
      <c r="AC205">
        <v>0</v>
      </c>
      <c r="AD205" t="s">
        <v>125</v>
      </c>
      <c r="AE205" t="s">
        <v>125</v>
      </c>
      <c r="AF205">
        <v>30</v>
      </c>
      <c r="AG205">
        <v>22</v>
      </c>
      <c r="AH205">
        <v>8</v>
      </c>
      <c r="AI205">
        <v>1</v>
      </c>
      <c r="AJ205">
        <v>21</v>
      </c>
      <c r="AK205">
        <v>7.5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</row>
    <row r="206" spans="1:43" hidden="1" x14ac:dyDescent="0.25">
      <c r="A206" s="1">
        <v>46204</v>
      </c>
      <c r="B206" t="s">
        <v>32</v>
      </c>
      <c r="C206" t="s">
        <v>33</v>
      </c>
      <c r="D206" t="s">
        <v>33</v>
      </c>
      <c r="E206" t="s">
        <v>32</v>
      </c>
      <c r="F206" t="s">
        <v>34</v>
      </c>
      <c r="G206">
        <v>38</v>
      </c>
      <c r="H206">
        <v>0</v>
      </c>
      <c r="I206">
        <v>31</v>
      </c>
      <c r="J206">
        <v>0</v>
      </c>
      <c r="K206">
        <v>31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  <c r="R206">
        <v>0.7</v>
      </c>
      <c r="S206">
        <v>0.21</v>
      </c>
      <c r="T206">
        <v>0.03</v>
      </c>
      <c r="U206">
        <v>286.55</v>
      </c>
      <c r="V206">
        <v>0</v>
      </c>
      <c r="W206">
        <v>0</v>
      </c>
      <c r="X206">
        <v>0</v>
      </c>
      <c r="Y206">
        <v>286.55</v>
      </c>
      <c r="Z206">
        <v>0</v>
      </c>
      <c r="AA206">
        <v>0</v>
      </c>
      <c r="AB206">
        <v>0</v>
      </c>
      <c r="AC206">
        <v>2.4700000000000002</v>
      </c>
      <c r="AD206">
        <v>0</v>
      </c>
      <c r="AE206">
        <v>2.4700000000000002</v>
      </c>
      <c r="AF206">
        <v>31</v>
      </c>
      <c r="AG206">
        <v>23</v>
      </c>
      <c r="AH206">
        <v>8</v>
      </c>
      <c r="AI206">
        <v>1</v>
      </c>
      <c r="AJ206">
        <v>22</v>
      </c>
      <c r="AK206">
        <v>7.5</v>
      </c>
      <c r="AL206">
        <v>0</v>
      </c>
      <c r="AM206">
        <v>0</v>
      </c>
      <c r="AN206">
        <v>0</v>
      </c>
      <c r="AO206">
        <v>0.03</v>
      </c>
      <c r="AP206">
        <v>0</v>
      </c>
      <c r="AQ206">
        <v>0.03</v>
      </c>
    </row>
    <row r="207" spans="1:43" hidden="1" x14ac:dyDescent="0.25">
      <c r="A207" s="1">
        <v>46204</v>
      </c>
      <c r="B207" t="s">
        <v>32</v>
      </c>
      <c r="C207" t="s">
        <v>32</v>
      </c>
      <c r="D207" t="s">
        <v>32</v>
      </c>
      <c r="E207" t="s">
        <v>32</v>
      </c>
      <c r="F207" t="s">
        <v>35</v>
      </c>
      <c r="G207">
        <v>430</v>
      </c>
      <c r="H207">
        <v>0</v>
      </c>
      <c r="I207">
        <v>180</v>
      </c>
      <c r="J207">
        <v>21</v>
      </c>
      <c r="K207">
        <v>201</v>
      </c>
      <c r="L207">
        <v>0</v>
      </c>
      <c r="M207">
        <v>0</v>
      </c>
      <c r="N207">
        <v>0</v>
      </c>
      <c r="O207">
        <v>0</v>
      </c>
      <c r="P207">
        <v>1</v>
      </c>
      <c r="Q207">
        <v>0</v>
      </c>
      <c r="R207">
        <v>0.7</v>
      </c>
      <c r="S207">
        <v>0.21</v>
      </c>
      <c r="T207">
        <v>0.03</v>
      </c>
      <c r="U207">
        <v>1789.08</v>
      </c>
      <c r="V207">
        <v>0</v>
      </c>
      <c r="W207">
        <v>0</v>
      </c>
      <c r="X207">
        <v>0</v>
      </c>
      <c r="Y207">
        <v>1789.08</v>
      </c>
      <c r="Z207">
        <v>0</v>
      </c>
      <c r="AA207">
        <v>0</v>
      </c>
      <c r="AB207">
        <v>0</v>
      </c>
      <c r="AC207">
        <v>99.89</v>
      </c>
      <c r="AD207">
        <v>0</v>
      </c>
      <c r="AE207">
        <v>99.89</v>
      </c>
      <c r="AF207">
        <v>31</v>
      </c>
      <c r="AG207">
        <v>23</v>
      </c>
      <c r="AH207">
        <v>8</v>
      </c>
      <c r="AI207">
        <v>1</v>
      </c>
      <c r="AJ207">
        <v>22</v>
      </c>
      <c r="AK207">
        <v>7.5</v>
      </c>
      <c r="AL207">
        <v>0</v>
      </c>
      <c r="AM207">
        <v>0</v>
      </c>
      <c r="AN207">
        <v>0</v>
      </c>
      <c r="AO207">
        <v>1.1299999999999999</v>
      </c>
      <c r="AP207">
        <v>0</v>
      </c>
      <c r="AQ207">
        <v>1.1299999999999999</v>
      </c>
    </row>
    <row r="208" spans="1:43" hidden="1" x14ac:dyDescent="0.25">
      <c r="A208" s="1">
        <v>46204</v>
      </c>
      <c r="B208" t="s">
        <v>32</v>
      </c>
      <c r="C208" t="s">
        <v>32</v>
      </c>
      <c r="D208" t="s">
        <v>32</v>
      </c>
      <c r="E208" t="s">
        <v>32</v>
      </c>
      <c r="F208" t="s">
        <v>45</v>
      </c>
      <c r="G208">
        <v>0</v>
      </c>
      <c r="H208">
        <v>0</v>
      </c>
      <c r="I208">
        <v>0</v>
      </c>
      <c r="J208">
        <v>20</v>
      </c>
      <c r="K208">
        <v>20</v>
      </c>
      <c r="L208">
        <v>0</v>
      </c>
      <c r="M208">
        <v>0</v>
      </c>
      <c r="N208">
        <v>0</v>
      </c>
      <c r="O208">
        <v>0</v>
      </c>
      <c r="P208">
        <v>1</v>
      </c>
      <c r="Q208">
        <v>0</v>
      </c>
      <c r="R208">
        <v>0.7</v>
      </c>
      <c r="S208">
        <v>0.21</v>
      </c>
      <c r="T208">
        <v>0.03</v>
      </c>
      <c r="U208">
        <v>1080</v>
      </c>
      <c r="V208">
        <v>0.7</v>
      </c>
      <c r="W208">
        <v>0.21</v>
      </c>
      <c r="X208">
        <v>0.03</v>
      </c>
      <c r="Y208">
        <v>1080</v>
      </c>
      <c r="Z208">
        <v>0</v>
      </c>
      <c r="AA208">
        <v>0</v>
      </c>
      <c r="AB208">
        <v>0</v>
      </c>
      <c r="AC208">
        <v>6</v>
      </c>
      <c r="AD208">
        <v>0</v>
      </c>
      <c r="AE208">
        <v>6</v>
      </c>
      <c r="AF208">
        <v>31</v>
      </c>
      <c r="AG208">
        <v>23</v>
      </c>
      <c r="AH208">
        <v>8</v>
      </c>
      <c r="AI208">
        <v>1</v>
      </c>
      <c r="AJ208">
        <v>22</v>
      </c>
      <c r="AK208">
        <v>7.5</v>
      </c>
      <c r="AL208">
        <v>0</v>
      </c>
      <c r="AM208">
        <v>0</v>
      </c>
      <c r="AN208">
        <v>0</v>
      </c>
      <c r="AO208">
        <v>7.0000000000000007E-2</v>
      </c>
      <c r="AP208">
        <v>0</v>
      </c>
      <c r="AQ208">
        <v>7.0000000000000007E-2</v>
      </c>
    </row>
    <row r="209" spans="1:43" hidden="1" x14ac:dyDescent="0.25">
      <c r="A209" s="1">
        <v>46204</v>
      </c>
      <c r="B209" t="s">
        <v>32</v>
      </c>
      <c r="C209" t="s">
        <v>36</v>
      </c>
      <c r="D209" t="s">
        <v>36</v>
      </c>
      <c r="E209" t="s">
        <v>32</v>
      </c>
      <c r="F209" t="s">
        <v>34</v>
      </c>
      <c r="G209">
        <v>5</v>
      </c>
      <c r="H209">
        <v>0</v>
      </c>
      <c r="I209">
        <v>4</v>
      </c>
      <c r="J209">
        <v>0</v>
      </c>
      <c r="K209">
        <v>4</v>
      </c>
      <c r="L209">
        <v>0</v>
      </c>
      <c r="M209">
        <v>0</v>
      </c>
      <c r="N209">
        <v>0</v>
      </c>
      <c r="O209">
        <v>0</v>
      </c>
      <c r="P209">
        <v>1</v>
      </c>
      <c r="Q209">
        <v>0</v>
      </c>
      <c r="R209">
        <v>0.7</v>
      </c>
      <c r="S209">
        <v>0.21</v>
      </c>
      <c r="T209">
        <v>0.03</v>
      </c>
      <c r="U209">
        <v>480.72</v>
      </c>
      <c r="V209">
        <v>0</v>
      </c>
      <c r="W209">
        <v>0</v>
      </c>
      <c r="X209">
        <v>0</v>
      </c>
      <c r="Y209">
        <v>480.72</v>
      </c>
      <c r="Z209">
        <v>0</v>
      </c>
      <c r="AA209">
        <v>0</v>
      </c>
      <c r="AB209">
        <v>0</v>
      </c>
      <c r="AC209">
        <v>0.53</v>
      </c>
      <c r="AD209">
        <v>0</v>
      </c>
      <c r="AE209">
        <v>0.53</v>
      </c>
      <c r="AF209">
        <v>31</v>
      </c>
      <c r="AG209">
        <v>23</v>
      </c>
      <c r="AH209">
        <v>8</v>
      </c>
      <c r="AI209">
        <v>1</v>
      </c>
      <c r="AJ209">
        <v>22</v>
      </c>
      <c r="AK209">
        <v>7.5</v>
      </c>
      <c r="AL209">
        <v>0</v>
      </c>
      <c r="AM209">
        <v>0</v>
      </c>
      <c r="AN209">
        <v>0</v>
      </c>
      <c r="AO209">
        <v>0.01</v>
      </c>
      <c r="AP209">
        <v>0</v>
      </c>
      <c r="AQ209">
        <v>0.01</v>
      </c>
    </row>
    <row r="210" spans="1:43" hidden="1" x14ac:dyDescent="0.25">
      <c r="A210" s="1">
        <v>46204</v>
      </c>
      <c r="B210" t="s">
        <v>32</v>
      </c>
      <c r="C210" t="s">
        <v>37</v>
      </c>
      <c r="D210" t="s">
        <v>37</v>
      </c>
      <c r="E210" t="s">
        <v>32</v>
      </c>
      <c r="F210" t="s">
        <v>34</v>
      </c>
      <c r="G210">
        <v>5</v>
      </c>
      <c r="H210">
        <v>0</v>
      </c>
      <c r="I210">
        <v>1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0.7</v>
      </c>
      <c r="S210">
        <v>0.21</v>
      </c>
      <c r="T210">
        <v>0.03</v>
      </c>
      <c r="U210">
        <v>299.33</v>
      </c>
      <c r="V210">
        <v>0</v>
      </c>
      <c r="W210">
        <v>0</v>
      </c>
      <c r="X210">
        <v>0</v>
      </c>
      <c r="Y210">
        <v>299.33</v>
      </c>
      <c r="Z210">
        <v>0</v>
      </c>
      <c r="AA210">
        <v>0</v>
      </c>
      <c r="AB210">
        <v>0</v>
      </c>
      <c r="AC210">
        <v>0.08</v>
      </c>
      <c r="AD210">
        <v>0</v>
      </c>
      <c r="AE210">
        <v>0.08</v>
      </c>
      <c r="AF210">
        <v>31</v>
      </c>
      <c r="AG210">
        <v>23</v>
      </c>
      <c r="AH210">
        <v>8</v>
      </c>
      <c r="AI210">
        <v>1</v>
      </c>
      <c r="AJ210">
        <v>22</v>
      </c>
      <c r="AK210">
        <v>7.5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</row>
    <row r="211" spans="1:43" hidden="1" x14ac:dyDescent="0.25">
      <c r="A211" s="1">
        <v>46204</v>
      </c>
      <c r="B211" t="s">
        <v>32</v>
      </c>
      <c r="C211" t="s">
        <v>38</v>
      </c>
      <c r="D211" t="s">
        <v>38</v>
      </c>
      <c r="E211" t="s">
        <v>32</v>
      </c>
      <c r="F211" t="s">
        <v>34</v>
      </c>
      <c r="G211">
        <v>5739</v>
      </c>
      <c r="H211">
        <v>0</v>
      </c>
      <c r="I211">
        <v>4181</v>
      </c>
      <c r="J211">
        <v>-250</v>
      </c>
      <c r="K211">
        <v>3931</v>
      </c>
      <c r="L211">
        <v>0</v>
      </c>
      <c r="M211">
        <v>0</v>
      </c>
      <c r="N211">
        <v>0</v>
      </c>
      <c r="O211">
        <v>0</v>
      </c>
      <c r="P211">
        <v>0.53320000000000001</v>
      </c>
      <c r="Q211">
        <v>0.46679999999999999</v>
      </c>
      <c r="R211">
        <v>0.7</v>
      </c>
      <c r="S211">
        <v>0.21</v>
      </c>
      <c r="T211">
        <v>0.03</v>
      </c>
      <c r="U211">
        <v>602.35</v>
      </c>
      <c r="V211">
        <v>0.7</v>
      </c>
      <c r="W211">
        <v>0.21</v>
      </c>
      <c r="X211">
        <v>0.03</v>
      </c>
      <c r="Y211">
        <v>602.35</v>
      </c>
      <c r="Z211">
        <v>0</v>
      </c>
      <c r="AA211">
        <v>0</v>
      </c>
      <c r="AB211">
        <v>0</v>
      </c>
      <c r="AC211">
        <v>350.7</v>
      </c>
      <c r="AD211">
        <v>307.02999999999997</v>
      </c>
      <c r="AE211">
        <v>657.73</v>
      </c>
      <c r="AF211">
        <v>31</v>
      </c>
      <c r="AG211">
        <v>23</v>
      </c>
      <c r="AH211">
        <v>8</v>
      </c>
      <c r="AI211">
        <v>1</v>
      </c>
      <c r="AJ211">
        <v>22</v>
      </c>
      <c r="AK211">
        <v>7.5</v>
      </c>
      <c r="AL211">
        <v>0</v>
      </c>
      <c r="AM211">
        <v>0</v>
      </c>
      <c r="AN211">
        <v>0</v>
      </c>
      <c r="AO211">
        <v>3.96</v>
      </c>
      <c r="AP211">
        <v>3.47</v>
      </c>
      <c r="AQ211">
        <v>7.43</v>
      </c>
    </row>
    <row r="212" spans="1:43" hidden="1" x14ac:dyDescent="0.25">
      <c r="A212" s="1">
        <v>46204</v>
      </c>
      <c r="B212" t="s">
        <v>32</v>
      </c>
      <c r="C212" t="s">
        <v>39</v>
      </c>
      <c r="D212" t="s">
        <v>39</v>
      </c>
      <c r="E212" t="s">
        <v>32</v>
      </c>
      <c r="F212" t="s">
        <v>34</v>
      </c>
      <c r="G212">
        <v>736</v>
      </c>
      <c r="H212">
        <v>0</v>
      </c>
      <c r="I212">
        <v>64</v>
      </c>
      <c r="J212">
        <v>0</v>
      </c>
      <c r="K212">
        <v>64</v>
      </c>
      <c r="L212">
        <v>0</v>
      </c>
      <c r="M212">
        <v>0</v>
      </c>
      <c r="N212">
        <v>0</v>
      </c>
      <c r="O212">
        <v>0</v>
      </c>
      <c r="P212">
        <v>1</v>
      </c>
      <c r="Q212">
        <v>0</v>
      </c>
      <c r="R212">
        <v>0.7</v>
      </c>
      <c r="S212">
        <v>0.21</v>
      </c>
      <c r="T212">
        <v>0.03</v>
      </c>
      <c r="U212">
        <v>462.54</v>
      </c>
      <c r="V212">
        <v>0</v>
      </c>
      <c r="W212">
        <v>0</v>
      </c>
      <c r="X212">
        <v>0</v>
      </c>
      <c r="Y212">
        <v>462.54</v>
      </c>
      <c r="Z212">
        <v>0</v>
      </c>
      <c r="AA212">
        <v>0</v>
      </c>
      <c r="AB212">
        <v>0</v>
      </c>
      <c r="AC212">
        <v>8.2200000000000006</v>
      </c>
      <c r="AD212">
        <v>0</v>
      </c>
      <c r="AE212">
        <v>8.2200000000000006</v>
      </c>
      <c r="AF212">
        <v>31</v>
      </c>
      <c r="AG212">
        <v>23</v>
      </c>
      <c r="AH212">
        <v>8</v>
      </c>
      <c r="AI212">
        <v>1</v>
      </c>
      <c r="AJ212">
        <v>22</v>
      </c>
      <c r="AK212">
        <v>7.5</v>
      </c>
      <c r="AL212">
        <v>0</v>
      </c>
      <c r="AM212">
        <v>0</v>
      </c>
      <c r="AN212">
        <v>0</v>
      </c>
      <c r="AO212">
        <v>0.09</v>
      </c>
      <c r="AP212">
        <v>0</v>
      </c>
      <c r="AQ212">
        <v>0.09</v>
      </c>
    </row>
    <row r="213" spans="1:43" hidden="1" x14ac:dyDescent="0.25">
      <c r="A213" s="1">
        <v>46204</v>
      </c>
      <c r="B213" t="s">
        <v>32</v>
      </c>
      <c r="C213" t="s">
        <v>40</v>
      </c>
      <c r="D213" t="s">
        <v>40</v>
      </c>
      <c r="E213" t="s">
        <v>32</v>
      </c>
      <c r="F213" t="s">
        <v>34</v>
      </c>
      <c r="G213">
        <v>48</v>
      </c>
      <c r="H213">
        <v>0</v>
      </c>
      <c r="I213">
        <v>46</v>
      </c>
      <c r="J213">
        <v>0</v>
      </c>
      <c r="K213">
        <v>46</v>
      </c>
      <c r="L213">
        <v>0</v>
      </c>
      <c r="M213">
        <v>0</v>
      </c>
      <c r="N213">
        <v>0</v>
      </c>
      <c r="O213">
        <v>0</v>
      </c>
      <c r="P213">
        <v>0.1043</v>
      </c>
      <c r="Q213">
        <v>0.89570000000000005</v>
      </c>
      <c r="R213">
        <v>0.7</v>
      </c>
      <c r="S213">
        <v>0.21</v>
      </c>
      <c r="T213">
        <v>0.03</v>
      </c>
      <c r="U213">
        <v>653.49</v>
      </c>
      <c r="V213">
        <v>0.7</v>
      </c>
      <c r="W213">
        <v>0.21</v>
      </c>
      <c r="X213">
        <v>0.03</v>
      </c>
      <c r="Y213">
        <v>653.49</v>
      </c>
      <c r="Z213">
        <v>0</v>
      </c>
      <c r="AA213">
        <v>0</v>
      </c>
      <c r="AB213">
        <v>0</v>
      </c>
      <c r="AC213">
        <v>0.87</v>
      </c>
      <c r="AD213">
        <v>7.48</v>
      </c>
      <c r="AE213">
        <v>8.35</v>
      </c>
      <c r="AF213">
        <v>31</v>
      </c>
      <c r="AG213">
        <v>23</v>
      </c>
      <c r="AH213">
        <v>8</v>
      </c>
      <c r="AI213">
        <v>1</v>
      </c>
      <c r="AJ213">
        <v>22</v>
      </c>
      <c r="AK213">
        <v>7.5</v>
      </c>
      <c r="AL213">
        <v>0</v>
      </c>
      <c r="AM213">
        <v>0</v>
      </c>
      <c r="AN213">
        <v>0</v>
      </c>
      <c r="AO213">
        <v>0.01</v>
      </c>
      <c r="AP213">
        <v>0.08</v>
      </c>
      <c r="AQ213">
        <v>0.09</v>
      </c>
    </row>
    <row r="214" spans="1:43" hidden="1" x14ac:dyDescent="0.25">
      <c r="A214" s="1">
        <v>46204</v>
      </c>
      <c r="B214" t="s">
        <v>32</v>
      </c>
      <c r="C214" t="s">
        <v>41</v>
      </c>
      <c r="D214" t="s">
        <v>41</v>
      </c>
      <c r="E214" t="s">
        <v>32</v>
      </c>
      <c r="F214" t="s">
        <v>34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125</v>
      </c>
      <c r="Z214">
        <v>0</v>
      </c>
      <c r="AA214" t="s">
        <v>125</v>
      </c>
      <c r="AB214" t="s">
        <v>125</v>
      </c>
      <c r="AC214">
        <v>0</v>
      </c>
      <c r="AD214" t="s">
        <v>125</v>
      </c>
      <c r="AE214" t="s">
        <v>125</v>
      </c>
      <c r="AF214">
        <v>31</v>
      </c>
      <c r="AG214">
        <v>23</v>
      </c>
      <c r="AH214">
        <v>8</v>
      </c>
      <c r="AI214">
        <v>1</v>
      </c>
      <c r="AJ214">
        <v>22</v>
      </c>
      <c r="AK214">
        <v>7.5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</row>
    <row r="215" spans="1:43" hidden="1" x14ac:dyDescent="0.25">
      <c r="A215" s="1">
        <v>46204</v>
      </c>
      <c r="B215" t="s">
        <v>32</v>
      </c>
      <c r="C215" t="s">
        <v>42</v>
      </c>
      <c r="D215" t="s">
        <v>42</v>
      </c>
      <c r="E215" t="s">
        <v>32</v>
      </c>
      <c r="F215" t="s">
        <v>34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1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125</v>
      </c>
      <c r="Z215">
        <v>0</v>
      </c>
      <c r="AA215" t="s">
        <v>125</v>
      </c>
      <c r="AB215" t="s">
        <v>125</v>
      </c>
      <c r="AC215">
        <v>0</v>
      </c>
      <c r="AD215" t="s">
        <v>125</v>
      </c>
      <c r="AE215" t="s">
        <v>125</v>
      </c>
      <c r="AF215">
        <v>31</v>
      </c>
      <c r="AG215">
        <v>23</v>
      </c>
      <c r="AH215">
        <v>8</v>
      </c>
      <c r="AI215">
        <v>1</v>
      </c>
      <c r="AJ215">
        <v>22</v>
      </c>
      <c r="AK215">
        <v>7.5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</row>
    <row r="216" spans="1:43" hidden="1" x14ac:dyDescent="0.25">
      <c r="A216" s="1">
        <v>46204</v>
      </c>
      <c r="B216" t="s">
        <v>32</v>
      </c>
      <c r="C216" t="s">
        <v>43</v>
      </c>
      <c r="D216" t="s">
        <v>43</v>
      </c>
      <c r="E216" t="s">
        <v>32</v>
      </c>
      <c r="F216" t="s">
        <v>34</v>
      </c>
      <c r="G216">
        <v>2</v>
      </c>
      <c r="H216">
        <v>0</v>
      </c>
      <c r="I216">
        <v>2</v>
      </c>
      <c r="J216">
        <v>0</v>
      </c>
      <c r="K216">
        <v>2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0</v>
      </c>
      <c r="R216">
        <v>0.7</v>
      </c>
      <c r="S216">
        <v>0.21</v>
      </c>
      <c r="T216">
        <v>0.03</v>
      </c>
      <c r="U216">
        <v>344.84</v>
      </c>
      <c r="V216">
        <v>0</v>
      </c>
      <c r="W216">
        <v>0</v>
      </c>
      <c r="X216">
        <v>0</v>
      </c>
      <c r="Y216">
        <v>344.84</v>
      </c>
      <c r="Z216">
        <v>0</v>
      </c>
      <c r="AA216">
        <v>0</v>
      </c>
      <c r="AB216">
        <v>0</v>
      </c>
      <c r="AC216">
        <v>0.19</v>
      </c>
      <c r="AD216">
        <v>0</v>
      </c>
      <c r="AE216">
        <v>0.19</v>
      </c>
      <c r="AF216">
        <v>31</v>
      </c>
      <c r="AG216">
        <v>23</v>
      </c>
      <c r="AH216">
        <v>8</v>
      </c>
      <c r="AI216">
        <v>1</v>
      </c>
      <c r="AJ216">
        <v>22</v>
      </c>
      <c r="AK216">
        <v>7.5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</row>
    <row r="217" spans="1:43" hidden="1" x14ac:dyDescent="0.25">
      <c r="A217" s="1">
        <v>46204</v>
      </c>
      <c r="B217" t="s">
        <v>32</v>
      </c>
      <c r="C217" t="s">
        <v>44</v>
      </c>
      <c r="D217" t="s">
        <v>44</v>
      </c>
      <c r="E217" t="s">
        <v>32</v>
      </c>
      <c r="F217" t="s">
        <v>34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0.7</v>
      </c>
      <c r="S217">
        <v>0.21</v>
      </c>
      <c r="T217">
        <v>0.03</v>
      </c>
      <c r="U217">
        <v>0</v>
      </c>
      <c r="V217">
        <v>0</v>
      </c>
      <c r="W217">
        <v>0</v>
      </c>
      <c r="X217">
        <v>0</v>
      </c>
      <c r="Y217" t="s">
        <v>125</v>
      </c>
      <c r="Z217">
        <v>0</v>
      </c>
      <c r="AA217" t="s">
        <v>125</v>
      </c>
      <c r="AB217" t="s">
        <v>125</v>
      </c>
      <c r="AC217">
        <v>0</v>
      </c>
      <c r="AD217" t="s">
        <v>125</v>
      </c>
      <c r="AE217" t="s">
        <v>125</v>
      </c>
      <c r="AF217">
        <v>31</v>
      </c>
      <c r="AG217">
        <v>23</v>
      </c>
      <c r="AH217">
        <v>8</v>
      </c>
      <c r="AI217">
        <v>1</v>
      </c>
      <c r="AJ217">
        <v>22</v>
      </c>
      <c r="AK217">
        <v>7.5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</row>
    <row r="218" spans="1:43" hidden="1" x14ac:dyDescent="0.25">
      <c r="A218" s="1">
        <v>46235</v>
      </c>
      <c r="B218" t="s">
        <v>32</v>
      </c>
      <c r="C218" t="s">
        <v>33</v>
      </c>
      <c r="D218" t="s">
        <v>33</v>
      </c>
      <c r="E218" t="s">
        <v>32</v>
      </c>
      <c r="F218" t="s">
        <v>34</v>
      </c>
      <c r="G218">
        <v>41</v>
      </c>
      <c r="H218">
        <v>0</v>
      </c>
      <c r="I218">
        <v>30</v>
      </c>
      <c r="J218">
        <v>0</v>
      </c>
      <c r="K218">
        <v>30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0</v>
      </c>
      <c r="R218">
        <v>0.7</v>
      </c>
      <c r="S218">
        <v>0.21</v>
      </c>
      <c r="T218">
        <v>0.03</v>
      </c>
      <c r="U218">
        <v>286.55</v>
      </c>
      <c r="V218">
        <v>0</v>
      </c>
      <c r="W218">
        <v>0</v>
      </c>
      <c r="X218">
        <v>0</v>
      </c>
      <c r="Y218">
        <v>286.55</v>
      </c>
      <c r="Z218">
        <v>0</v>
      </c>
      <c r="AA218">
        <v>0</v>
      </c>
      <c r="AB218">
        <v>0</v>
      </c>
      <c r="AC218">
        <v>2.39</v>
      </c>
      <c r="AD218">
        <v>0</v>
      </c>
      <c r="AE218">
        <v>2.39</v>
      </c>
      <c r="AF218">
        <v>31</v>
      </c>
      <c r="AG218">
        <v>21</v>
      </c>
      <c r="AH218">
        <v>10</v>
      </c>
      <c r="AI218">
        <v>0</v>
      </c>
      <c r="AJ218">
        <v>21</v>
      </c>
      <c r="AK218">
        <v>7.5</v>
      </c>
      <c r="AL218">
        <v>0</v>
      </c>
      <c r="AM218">
        <v>0</v>
      </c>
      <c r="AN218">
        <v>0</v>
      </c>
      <c r="AO218">
        <v>0.03</v>
      </c>
      <c r="AP218">
        <v>0</v>
      </c>
      <c r="AQ218">
        <v>0.03</v>
      </c>
    </row>
    <row r="219" spans="1:43" hidden="1" x14ac:dyDescent="0.25">
      <c r="A219" s="1">
        <v>46235</v>
      </c>
      <c r="B219" t="s">
        <v>32</v>
      </c>
      <c r="C219" t="s">
        <v>32</v>
      </c>
      <c r="D219" t="s">
        <v>32</v>
      </c>
      <c r="E219" t="s">
        <v>32</v>
      </c>
      <c r="F219" t="s">
        <v>35</v>
      </c>
      <c r="G219">
        <v>273</v>
      </c>
      <c r="H219">
        <v>0</v>
      </c>
      <c r="I219">
        <v>172</v>
      </c>
      <c r="J219">
        <v>26</v>
      </c>
      <c r="K219">
        <v>198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0</v>
      </c>
      <c r="R219">
        <v>0.7</v>
      </c>
      <c r="S219">
        <v>0.21</v>
      </c>
      <c r="T219">
        <v>0.03</v>
      </c>
      <c r="U219">
        <v>1789.08</v>
      </c>
      <c r="V219">
        <v>0</v>
      </c>
      <c r="W219">
        <v>0</v>
      </c>
      <c r="X219">
        <v>0</v>
      </c>
      <c r="Y219">
        <v>1789.08</v>
      </c>
      <c r="Z219">
        <v>0</v>
      </c>
      <c r="AA219">
        <v>0</v>
      </c>
      <c r="AB219">
        <v>0</v>
      </c>
      <c r="AC219">
        <v>98.4</v>
      </c>
      <c r="AD219">
        <v>0</v>
      </c>
      <c r="AE219">
        <v>98.4</v>
      </c>
      <c r="AF219">
        <v>31</v>
      </c>
      <c r="AG219">
        <v>21</v>
      </c>
      <c r="AH219">
        <v>10</v>
      </c>
      <c r="AI219">
        <v>0</v>
      </c>
      <c r="AJ219">
        <v>21</v>
      </c>
      <c r="AK219">
        <v>7.5</v>
      </c>
      <c r="AL219">
        <v>0</v>
      </c>
      <c r="AM219">
        <v>0</v>
      </c>
      <c r="AN219">
        <v>0</v>
      </c>
      <c r="AO219">
        <v>1.1599999999999999</v>
      </c>
      <c r="AP219">
        <v>0</v>
      </c>
      <c r="AQ219">
        <v>1.1599999999999999</v>
      </c>
    </row>
    <row r="220" spans="1:43" hidden="1" x14ac:dyDescent="0.25">
      <c r="A220" s="1">
        <v>46235</v>
      </c>
      <c r="B220" t="s">
        <v>32</v>
      </c>
      <c r="C220" t="s">
        <v>32</v>
      </c>
      <c r="D220" t="s">
        <v>32</v>
      </c>
      <c r="E220" t="s">
        <v>32</v>
      </c>
      <c r="F220" t="s">
        <v>45</v>
      </c>
      <c r="G220">
        <v>0</v>
      </c>
      <c r="H220">
        <v>0</v>
      </c>
      <c r="I220">
        <v>0</v>
      </c>
      <c r="J220">
        <v>20</v>
      </c>
      <c r="K220">
        <v>20</v>
      </c>
      <c r="L220">
        <v>0</v>
      </c>
      <c r="M220">
        <v>0</v>
      </c>
      <c r="N220">
        <v>0</v>
      </c>
      <c r="O220">
        <v>0</v>
      </c>
      <c r="P220">
        <v>1</v>
      </c>
      <c r="Q220">
        <v>0</v>
      </c>
      <c r="R220">
        <v>0.7</v>
      </c>
      <c r="S220">
        <v>0.21</v>
      </c>
      <c r="T220">
        <v>0.03</v>
      </c>
      <c r="U220">
        <v>1080</v>
      </c>
      <c r="V220">
        <v>0.7</v>
      </c>
      <c r="W220">
        <v>0.21</v>
      </c>
      <c r="X220">
        <v>0.03</v>
      </c>
      <c r="Y220">
        <v>1080</v>
      </c>
      <c r="Z220">
        <v>0</v>
      </c>
      <c r="AA220">
        <v>0</v>
      </c>
      <c r="AB220">
        <v>0</v>
      </c>
      <c r="AC220">
        <v>6</v>
      </c>
      <c r="AD220">
        <v>0</v>
      </c>
      <c r="AE220">
        <v>6</v>
      </c>
      <c r="AF220">
        <v>31</v>
      </c>
      <c r="AG220">
        <v>21</v>
      </c>
      <c r="AH220">
        <v>10</v>
      </c>
      <c r="AI220">
        <v>0</v>
      </c>
      <c r="AJ220">
        <v>21</v>
      </c>
      <c r="AK220">
        <v>7.5</v>
      </c>
      <c r="AL220">
        <v>0</v>
      </c>
      <c r="AM220">
        <v>0</v>
      </c>
      <c r="AN220">
        <v>0</v>
      </c>
      <c r="AO220">
        <v>7.0000000000000007E-2</v>
      </c>
      <c r="AP220">
        <v>0</v>
      </c>
      <c r="AQ220">
        <v>7.0000000000000007E-2</v>
      </c>
    </row>
    <row r="221" spans="1:43" hidden="1" x14ac:dyDescent="0.25">
      <c r="A221" s="1">
        <v>46235</v>
      </c>
      <c r="B221" t="s">
        <v>32</v>
      </c>
      <c r="C221" t="s">
        <v>36</v>
      </c>
      <c r="D221" t="s">
        <v>36</v>
      </c>
      <c r="E221" t="s">
        <v>32</v>
      </c>
      <c r="F221" t="s">
        <v>34</v>
      </c>
      <c r="G221">
        <v>8</v>
      </c>
      <c r="H221">
        <v>0</v>
      </c>
      <c r="I221">
        <v>5</v>
      </c>
      <c r="J221">
        <v>0</v>
      </c>
      <c r="K221">
        <v>5</v>
      </c>
      <c r="L221">
        <v>0</v>
      </c>
      <c r="M221">
        <v>0</v>
      </c>
      <c r="N221">
        <v>0</v>
      </c>
      <c r="O221">
        <v>0</v>
      </c>
      <c r="P221">
        <v>1</v>
      </c>
      <c r="Q221">
        <v>0</v>
      </c>
      <c r="R221">
        <v>0.7</v>
      </c>
      <c r="S221">
        <v>0.21</v>
      </c>
      <c r="T221">
        <v>0.03</v>
      </c>
      <c r="U221">
        <v>480.72</v>
      </c>
      <c r="V221">
        <v>0</v>
      </c>
      <c r="W221">
        <v>0</v>
      </c>
      <c r="X221">
        <v>0</v>
      </c>
      <c r="Y221">
        <v>480.72</v>
      </c>
      <c r="Z221">
        <v>0</v>
      </c>
      <c r="AA221">
        <v>0</v>
      </c>
      <c r="AB221">
        <v>0</v>
      </c>
      <c r="AC221">
        <v>0.67</v>
      </c>
      <c r="AD221">
        <v>0</v>
      </c>
      <c r="AE221">
        <v>0.67</v>
      </c>
      <c r="AF221">
        <v>31</v>
      </c>
      <c r="AG221">
        <v>21</v>
      </c>
      <c r="AH221">
        <v>10</v>
      </c>
      <c r="AI221">
        <v>0</v>
      </c>
      <c r="AJ221">
        <v>21</v>
      </c>
      <c r="AK221">
        <v>7.5</v>
      </c>
      <c r="AL221">
        <v>0</v>
      </c>
      <c r="AM221">
        <v>0</v>
      </c>
      <c r="AN221">
        <v>0</v>
      </c>
      <c r="AO221">
        <v>0.01</v>
      </c>
      <c r="AP221">
        <v>0</v>
      </c>
      <c r="AQ221">
        <v>0.01</v>
      </c>
    </row>
    <row r="222" spans="1:43" hidden="1" x14ac:dyDescent="0.25">
      <c r="A222" s="1">
        <v>46235</v>
      </c>
      <c r="B222" t="s">
        <v>32</v>
      </c>
      <c r="C222" t="s">
        <v>37</v>
      </c>
      <c r="D222" t="s">
        <v>37</v>
      </c>
      <c r="E222" t="s">
        <v>32</v>
      </c>
      <c r="F222" t="s">
        <v>34</v>
      </c>
      <c r="G222">
        <v>2</v>
      </c>
      <c r="H222">
        <v>0</v>
      </c>
      <c r="I222">
        <v>1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0.7</v>
      </c>
      <c r="S222">
        <v>0.21</v>
      </c>
      <c r="T222">
        <v>0.03</v>
      </c>
      <c r="U222">
        <v>299.33</v>
      </c>
      <c r="V222">
        <v>0</v>
      </c>
      <c r="W222">
        <v>0</v>
      </c>
      <c r="X222">
        <v>0</v>
      </c>
      <c r="Y222">
        <v>299.33</v>
      </c>
      <c r="Z222">
        <v>0</v>
      </c>
      <c r="AA222">
        <v>0</v>
      </c>
      <c r="AB222">
        <v>0</v>
      </c>
      <c r="AC222">
        <v>0.08</v>
      </c>
      <c r="AD222">
        <v>0</v>
      </c>
      <c r="AE222">
        <v>0.08</v>
      </c>
      <c r="AF222">
        <v>31</v>
      </c>
      <c r="AG222">
        <v>21</v>
      </c>
      <c r="AH222">
        <v>10</v>
      </c>
      <c r="AI222">
        <v>0</v>
      </c>
      <c r="AJ222">
        <v>21</v>
      </c>
      <c r="AK222">
        <v>7.5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</row>
    <row r="223" spans="1:43" hidden="1" x14ac:dyDescent="0.25">
      <c r="A223" s="1">
        <v>46235</v>
      </c>
      <c r="B223" t="s">
        <v>32</v>
      </c>
      <c r="C223" t="s">
        <v>38</v>
      </c>
      <c r="D223" t="s">
        <v>38</v>
      </c>
      <c r="E223" t="s">
        <v>32</v>
      </c>
      <c r="F223" t="s">
        <v>34</v>
      </c>
      <c r="G223">
        <v>4642</v>
      </c>
      <c r="H223">
        <v>0</v>
      </c>
      <c r="I223">
        <v>4011</v>
      </c>
      <c r="J223">
        <v>-240</v>
      </c>
      <c r="K223">
        <v>3771</v>
      </c>
      <c r="L223">
        <v>0</v>
      </c>
      <c r="M223">
        <v>0</v>
      </c>
      <c r="N223">
        <v>0</v>
      </c>
      <c r="O223">
        <v>0</v>
      </c>
      <c r="P223">
        <v>0.53320000000000001</v>
      </c>
      <c r="Q223">
        <v>0.46679999999999999</v>
      </c>
      <c r="R223">
        <v>0.7</v>
      </c>
      <c r="S223">
        <v>0.21</v>
      </c>
      <c r="T223">
        <v>0.03</v>
      </c>
      <c r="U223">
        <v>602.35</v>
      </c>
      <c r="V223">
        <v>0.7</v>
      </c>
      <c r="W223">
        <v>0.21</v>
      </c>
      <c r="X223">
        <v>0.03</v>
      </c>
      <c r="Y223">
        <v>602.35</v>
      </c>
      <c r="Z223">
        <v>0</v>
      </c>
      <c r="AA223">
        <v>0</v>
      </c>
      <c r="AB223">
        <v>0</v>
      </c>
      <c r="AC223">
        <v>336.43</v>
      </c>
      <c r="AD223">
        <v>294.52999999999997</v>
      </c>
      <c r="AE223">
        <v>630.96</v>
      </c>
      <c r="AF223">
        <v>31</v>
      </c>
      <c r="AG223">
        <v>21</v>
      </c>
      <c r="AH223">
        <v>10</v>
      </c>
      <c r="AI223">
        <v>0</v>
      </c>
      <c r="AJ223">
        <v>21</v>
      </c>
      <c r="AK223">
        <v>7.5</v>
      </c>
      <c r="AL223">
        <v>0</v>
      </c>
      <c r="AM223">
        <v>0</v>
      </c>
      <c r="AN223">
        <v>0</v>
      </c>
      <c r="AO223">
        <v>3.98</v>
      </c>
      <c r="AP223">
        <v>3.48</v>
      </c>
      <c r="AQ223">
        <v>7.46</v>
      </c>
    </row>
    <row r="224" spans="1:43" hidden="1" x14ac:dyDescent="0.25">
      <c r="A224" s="1">
        <v>46235</v>
      </c>
      <c r="B224" t="s">
        <v>32</v>
      </c>
      <c r="C224" t="s">
        <v>39</v>
      </c>
      <c r="D224" t="s">
        <v>39</v>
      </c>
      <c r="E224" t="s">
        <v>32</v>
      </c>
      <c r="F224" t="s">
        <v>34</v>
      </c>
      <c r="G224">
        <v>380</v>
      </c>
      <c r="H224">
        <v>0</v>
      </c>
      <c r="I224">
        <v>50</v>
      </c>
      <c r="J224">
        <v>0</v>
      </c>
      <c r="K224">
        <v>50</v>
      </c>
      <c r="L224">
        <v>0</v>
      </c>
      <c r="M224">
        <v>0</v>
      </c>
      <c r="N224">
        <v>0</v>
      </c>
      <c r="O224">
        <v>0</v>
      </c>
      <c r="P224">
        <v>1</v>
      </c>
      <c r="Q224">
        <v>0</v>
      </c>
      <c r="R224">
        <v>0.7</v>
      </c>
      <c r="S224">
        <v>0.21</v>
      </c>
      <c r="T224">
        <v>0.03</v>
      </c>
      <c r="U224">
        <v>462.54</v>
      </c>
      <c r="V224">
        <v>0</v>
      </c>
      <c r="W224">
        <v>0</v>
      </c>
      <c r="X224">
        <v>0</v>
      </c>
      <c r="Y224">
        <v>462.54</v>
      </c>
      <c r="Z224">
        <v>0</v>
      </c>
      <c r="AA224">
        <v>0</v>
      </c>
      <c r="AB224">
        <v>0</v>
      </c>
      <c r="AC224">
        <v>6.42</v>
      </c>
      <c r="AD224">
        <v>0</v>
      </c>
      <c r="AE224">
        <v>6.42</v>
      </c>
      <c r="AF224">
        <v>31</v>
      </c>
      <c r="AG224">
        <v>21</v>
      </c>
      <c r="AH224">
        <v>10</v>
      </c>
      <c r="AI224">
        <v>0</v>
      </c>
      <c r="AJ224">
        <v>21</v>
      </c>
      <c r="AK224">
        <v>7.5</v>
      </c>
      <c r="AL224">
        <v>0</v>
      </c>
      <c r="AM224">
        <v>0</v>
      </c>
      <c r="AN224">
        <v>0</v>
      </c>
      <c r="AO224">
        <v>0.08</v>
      </c>
      <c r="AP224">
        <v>0</v>
      </c>
      <c r="AQ224">
        <v>0.08</v>
      </c>
    </row>
    <row r="225" spans="1:43" hidden="1" x14ac:dyDescent="0.25">
      <c r="A225" s="1">
        <v>46235</v>
      </c>
      <c r="B225" t="s">
        <v>32</v>
      </c>
      <c r="C225" t="s">
        <v>40</v>
      </c>
      <c r="D225" t="s">
        <v>40</v>
      </c>
      <c r="E225" t="s">
        <v>32</v>
      </c>
      <c r="F225" t="s">
        <v>34</v>
      </c>
      <c r="G225">
        <v>46</v>
      </c>
      <c r="H225">
        <v>0</v>
      </c>
      <c r="I225">
        <v>45</v>
      </c>
      <c r="J225">
        <v>0</v>
      </c>
      <c r="K225">
        <v>45</v>
      </c>
      <c r="L225">
        <v>0</v>
      </c>
      <c r="M225">
        <v>0</v>
      </c>
      <c r="N225">
        <v>0</v>
      </c>
      <c r="O225">
        <v>0</v>
      </c>
      <c r="P225">
        <v>0.1043</v>
      </c>
      <c r="Q225">
        <v>0.89570000000000005</v>
      </c>
      <c r="R225">
        <v>0.7</v>
      </c>
      <c r="S225">
        <v>0.21</v>
      </c>
      <c r="T225">
        <v>0.03</v>
      </c>
      <c r="U225">
        <v>653.49</v>
      </c>
      <c r="V225">
        <v>0.7</v>
      </c>
      <c r="W225">
        <v>0.21</v>
      </c>
      <c r="X225">
        <v>0.03</v>
      </c>
      <c r="Y225">
        <v>653.49</v>
      </c>
      <c r="Z225">
        <v>0</v>
      </c>
      <c r="AA225">
        <v>0</v>
      </c>
      <c r="AB225">
        <v>0</v>
      </c>
      <c r="AC225">
        <v>0.85</v>
      </c>
      <c r="AD225">
        <v>7.32</v>
      </c>
      <c r="AE225">
        <v>8.17</v>
      </c>
      <c r="AF225">
        <v>31</v>
      </c>
      <c r="AG225">
        <v>21</v>
      </c>
      <c r="AH225">
        <v>10</v>
      </c>
      <c r="AI225">
        <v>0</v>
      </c>
      <c r="AJ225">
        <v>21</v>
      </c>
      <c r="AK225">
        <v>7.5</v>
      </c>
      <c r="AL225">
        <v>0</v>
      </c>
      <c r="AM225">
        <v>0</v>
      </c>
      <c r="AN225">
        <v>0</v>
      </c>
      <c r="AO225">
        <v>0.01</v>
      </c>
      <c r="AP225">
        <v>0.09</v>
      </c>
      <c r="AQ225">
        <v>9.9999999999999895E-2</v>
      </c>
    </row>
    <row r="226" spans="1:43" hidden="1" x14ac:dyDescent="0.25">
      <c r="A226" s="1">
        <v>46235</v>
      </c>
      <c r="B226" t="s">
        <v>32</v>
      </c>
      <c r="C226" t="s">
        <v>41</v>
      </c>
      <c r="D226" t="s">
        <v>41</v>
      </c>
      <c r="E226" t="s">
        <v>32</v>
      </c>
      <c r="F226" t="s">
        <v>34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125</v>
      </c>
      <c r="Z226">
        <v>0</v>
      </c>
      <c r="AA226" t="s">
        <v>125</v>
      </c>
      <c r="AB226" t="s">
        <v>125</v>
      </c>
      <c r="AC226">
        <v>0</v>
      </c>
      <c r="AD226" t="s">
        <v>125</v>
      </c>
      <c r="AE226" t="s">
        <v>125</v>
      </c>
      <c r="AF226">
        <v>31</v>
      </c>
      <c r="AG226">
        <v>21</v>
      </c>
      <c r="AH226">
        <v>10</v>
      </c>
      <c r="AI226">
        <v>0</v>
      </c>
      <c r="AJ226">
        <v>21</v>
      </c>
      <c r="AK226">
        <v>7.5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</row>
    <row r="227" spans="1:43" hidden="1" x14ac:dyDescent="0.25">
      <c r="A227" s="1">
        <v>46235</v>
      </c>
      <c r="B227" t="s">
        <v>32</v>
      </c>
      <c r="C227" t="s">
        <v>42</v>
      </c>
      <c r="D227" t="s">
        <v>42</v>
      </c>
      <c r="E227" t="s">
        <v>32</v>
      </c>
      <c r="F227" t="s">
        <v>34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1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125</v>
      </c>
      <c r="Z227">
        <v>0</v>
      </c>
      <c r="AA227" t="s">
        <v>125</v>
      </c>
      <c r="AB227" t="s">
        <v>125</v>
      </c>
      <c r="AC227">
        <v>0</v>
      </c>
      <c r="AD227" t="s">
        <v>125</v>
      </c>
      <c r="AE227" t="s">
        <v>125</v>
      </c>
      <c r="AF227">
        <v>31</v>
      </c>
      <c r="AG227">
        <v>21</v>
      </c>
      <c r="AH227">
        <v>10</v>
      </c>
      <c r="AI227">
        <v>0</v>
      </c>
      <c r="AJ227">
        <v>21</v>
      </c>
      <c r="AK227">
        <v>7.5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</row>
    <row r="228" spans="1:43" hidden="1" x14ac:dyDescent="0.25">
      <c r="A228" s="1">
        <v>46235</v>
      </c>
      <c r="B228" t="s">
        <v>32</v>
      </c>
      <c r="C228" t="s">
        <v>43</v>
      </c>
      <c r="D228" t="s">
        <v>43</v>
      </c>
      <c r="E228" t="s">
        <v>32</v>
      </c>
      <c r="F228" t="s">
        <v>34</v>
      </c>
      <c r="G228">
        <v>4</v>
      </c>
      <c r="H228">
        <v>0</v>
      </c>
      <c r="I228">
        <v>2</v>
      </c>
      <c r="J228">
        <v>0</v>
      </c>
      <c r="K228">
        <v>2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0.7</v>
      </c>
      <c r="S228">
        <v>0.21</v>
      </c>
      <c r="T228">
        <v>0.03</v>
      </c>
      <c r="U228">
        <v>344.84</v>
      </c>
      <c r="V228">
        <v>0</v>
      </c>
      <c r="W228">
        <v>0</v>
      </c>
      <c r="X228">
        <v>0</v>
      </c>
      <c r="Y228">
        <v>344.84</v>
      </c>
      <c r="Z228">
        <v>0</v>
      </c>
      <c r="AA228">
        <v>0</v>
      </c>
      <c r="AB228">
        <v>0</v>
      </c>
      <c r="AC228">
        <v>0.19</v>
      </c>
      <c r="AD228">
        <v>0</v>
      </c>
      <c r="AE228">
        <v>0.19</v>
      </c>
      <c r="AF228">
        <v>31</v>
      </c>
      <c r="AG228">
        <v>21</v>
      </c>
      <c r="AH228">
        <v>10</v>
      </c>
      <c r="AI228">
        <v>0</v>
      </c>
      <c r="AJ228">
        <v>21</v>
      </c>
      <c r="AK228">
        <v>7.5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</row>
    <row r="229" spans="1:43" hidden="1" x14ac:dyDescent="0.25">
      <c r="A229" s="1">
        <v>46235</v>
      </c>
      <c r="B229" t="s">
        <v>32</v>
      </c>
      <c r="C229" t="s">
        <v>44</v>
      </c>
      <c r="D229" t="s">
        <v>44</v>
      </c>
      <c r="E229" t="s">
        <v>32</v>
      </c>
      <c r="F229" t="s">
        <v>34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1</v>
      </c>
      <c r="Q229">
        <v>0</v>
      </c>
      <c r="R229">
        <v>0.7</v>
      </c>
      <c r="S229">
        <v>0.21</v>
      </c>
      <c r="T229">
        <v>0.03</v>
      </c>
      <c r="U229">
        <v>0</v>
      </c>
      <c r="V229">
        <v>0</v>
      </c>
      <c r="W229">
        <v>0</v>
      </c>
      <c r="X229">
        <v>0</v>
      </c>
      <c r="Y229" t="s">
        <v>125</v>
      </c>
      <c r="Z229">
        <v>0</v>
      </c>
      <c r="AA229" t="s">
        <v>125</v>
      </c>
      <c r="AB229" t="s">
        <v>125</v>
      </c>
      <c r="AC229">
        <v>0</v>
      </c>
      <c r="AD229" t="s">
        <v>125</v>
      </c>
      <c r="AE229" t="s">
        <v>125</v>
      </c>
      <c r="AF229">
        <v>31</v>
      </c>
      <c r="AG229">
        <v>21</v>
      </c>
      <c r="AH229">
        <v>10</v>
      </c>
      <c r="AI229">
        <v>0</v>
      </c>
      <c r="AJ229">
        <v>21</v>
      </c>
      <c r="AK229">
        <v>7.5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</row>
    <row r="230" spans="1:43" hidden="1" x14ac:dyDescent="0.25">
      <c r="A230" s="1">
        <v>46266</v>
      </c>
      <c r="B230" t="s">
        <v>32</v>
      </c>
      <c r="C230" t="s">
        <v>33</v>
      </c>
      <c r="D230" t="s">
        <v>33</v>
      </c>
      <c r="E230" t="s">
        <v>32</v>
      </c>
      <c r="F230" t="s">
        <v>34</v>
      </c>
      <c r="G230">
        <v>24</v>
      </c>
      <c r="H230">
        <v>0</v>
      </c>
      <c r="I230">
        <v>30</v>
      </c>
      <c r="J230">
        <v>0</v>
      </c>
      <c r="K230">
        <v>30</v>
      </c>
      <c r="L230">
        <v>0</v>
      </c>
      <c r="M230">
        <v>0</v>
      </c>
      <c r="N230">
        <v>0</v>
      </c>
      <c r="O230">
        <v>0</v>
      </c>
      <c r="P230">
        <v>1</v>
      </c>
      <c r="Q230">
        <v>0</v>
      </c>
      <c r="R230">
        <v>0.7</v>
      </c>
      <c r="S230">
        <v>0.21</v>
      </c>
      <c r="T230">
        <v>0.03</v>
      </c>
      <c r="U230">
        <v>286.55</v>
      </c>
      <c r="V230">
        <v>0</v>
      </c>
      <c r="W230">
        <v>0</v>
      </c>
      <c r="X230">
        <v>0</v>
      </c>
      <c r="Y230">
        <v>286.55</v>
      </c>
      <c r="Z230">
        <v>0</v>
      </c>
      <c r="AA230">
        <v>0</v>
      </c>
      <c r="AB230">
        <v>0</v>
      </c>
      <c r="AC230">
        <v>2.39</v>
      </c>
      <c r="AD230">
        <v>0</v>
      </c>
      <c r="AE230">
        <v>2.39</v>
      </c>
      <c r="AF230">
        <v>30</v>
      </c>
      <c r="AG230">
        <v>22</v>
      </c>
      <c r="AH230">
        <v>8</v>
      </c>
      <c r="AI230">
        <v>1</v>
      </c>
      <c r="AJ230">
        <v>21</v>
      </c>
      <c r="AK230">
        <v>7.5</v>
      </c>
      <c r="AL230">
        <v>0</v>
      </c>
      <c r="AM230">
        <v>0</v>
      </c>
      <c r="AN230">
        <v>0</v>
      </c>
      <c r="AO230">
        <v>0.03</v>
      </c>
      <c r="AP230">
        <v>0</v>
      </c>
      <c r="AQ230">
        <v>0.03</v>
      </c>
    </row>
    <row r="231" spans="1:43" hidden="1" x14ac:dyDescent="0.25">
      <c r="A231" s="1">
        <v>46266</v>
      </c>
      <c r="B231" t="s">
        <v>32</v>
      </c>
      <c r="C231" t="s">
        <v>32</v>
      </c>
      <c r="D231" t="s">
        <v>32</v>
      </c>
      <c r="E231" t="s">
        <v>32</v>
      </c>
      <c r="F231" t="s">
        <v>35</v>
      </c>
      <c r="G231">
        <v>400</v>
      </c>
      <c r="H231">
        <v>0</v>
      </c>
      <c r="I231">
        <v>172</v>
      </c>
      <c r="J231">
        <v>25</v>
      </c>
      <c r="K231">
        <v>197</v>
      </c>
      <c r="L231">
        <v>0</v>
      </c>
      <c r="M231">
        <v>0</v>
      </c>
      <c r="N231">
        <v>0</v>
      </c>
      <c r="O231">
        <v>0</v>
      </c>
      <c r="P231">
        <v>1</v>
      </c>
      <c r="Q231">
        <v>0</v>
      </c>
      <c r="R231">
        <v>0.7</v>
      </c>
      <c r="S231">
        <v>0.21</v>
      </c>
      <c r="T231">
        <v>0.03</v>
      </c>
      <c r="U231">
        <v>1789.08</v>
      </c>
      <c r="V231">
        <v>0</v>
      </c>
      <c r="W231">
        <v>0</v>
      </c>
      <c r="X231">
        <v>0</v>
      </c>
      <c r="Y231">
        <v>1789.08</v>
      </c>
      <c r="Z231">
        <v>0</v>
      </c>
      <c r="AA231">
        <v>0</v>
      </c>
      <c r="AB231">
        <v>0</v>
      </c>
      <c r="AC231">
        <v>97.9</v>
      </c>
      <c r="AD231">
        <v>0</v>
      </c>
      <c r="AE231">
        <v>97.9</v>
      </c>
      <c r="AF231">
        <v>30</v>
      </c>
      <c r="AG231">
        <v>22</v>
      </c>
      <c r="AH231">
        <v>8</v>
      </c>
      <c r="AI231">
        <v>1</v>
      </c>
      <c r="AJ231">
        <v>21</v>
      </c>
      <c r="AK231">
        <v>7.5</v>
      </c>
      <c r="AL231">
        <v>0</v>
      </c>
      <c r="AM231">
        <v>0</v>
      </c>
      <c r="AN231">
        <v>0</v>
      </c>
      <c r="AO231">
        <v>1.1599999999999999</v>
      </c>
      <c r="AP231">
        <v>0</v>
      </c>
      <c r="AQ231">
        <v>1.1599999999999999</v>
      </c>
    </row>
    <row r="232" spans="1:43" hidden="1" x14ac:dyDescent="0.25">
      <c r="A232" s="1">
        <v>46266</v>
      </c>
      <c r="B232" t="s">
        <v>32</v>
      </c>
      <c r="C232" t="s">
        <v>32</v>
      </c>
      <c r="D232" t="s">
        <v>32</v>
      </c>
      <c r="E232" t="s">
        <v>32</v>
      </c>
      <c r="F232" t="s">
        <v>45</v>
      </c>
      <c r="G232">
        <v>0</v>
      </c>
      <c r="H232">
        <v>0</v>
      </c>
      <c r="I232">
        <v>0</v>
      </c>
      <c r="J232">
        <v>20</v>
      </c>
      <c r="K232">
        <v>20</v>
      </c>
      <c r="L232">
        <v>0</v>
      </c>
      <c r="M232">
        <v>0</v>
      </c>
      <c r="N232">
        <v>0</v>
      </c>
      <c r="O232">
        <v>0</v>
      </c>
      <c r="P232">
        <v>1</v>
      </c>
      <c r="Q232">
        <v>0</v>
      </c>
      <c r="R232">
        <v>0.7</v>
      </c>
      <c r="S232">
        <v>0.21</v>
      </c>
      <c r="T232">
        <v>0.03</v>
      </c>
      <c r="U232">
        <v>1080</v>
      </c>
      <c r="V232">
        <v>0.7</v>
      </c>
      <c r="W232">
        <v>0.21</v>
      </c>
      <c r="X232">
        <v>0.03</v>
      </c>
      <c r="Y232">
        <v>1080</v>
      </c>
      <c r="Z232">
        <v>0</v>
      </c>
      <c r="AA232">
        <v>0</v>
      </c>
      <c r="AB232">
        <v>0</v>
      </c>
      <c r="AC232">
        <v>6</v>
      </c>
      <c r="AD232">
        <v>0</v>
      </c>
      <c r="AE232">
        <v>6</v>
      </c>
      <c r="AF232">
        <v>30</v>
      </c>
      <c r="AG232">
        <v>22</v>
      </c>
      <c r="AH232">
        <v>8</v>
      </c>
      <c r="AI232">
        <v>1</v>
      </c>
      <c r="AJ232">
        <v>21</v>
      </c>
      <c r="AK232">
        <v>7.5</v>
      </c>
      <c r="AL232">
        <v>0</v>
      </c>
      <c r="AM232">
        <v>0</v>
      </c>
      <c r="AN232">
        <v>0</v>
      </c>
      <c r="AO232">
        <v>7.0000000000000007E-2</v>
      </c>
      <c r="AP232">
        <v>0</v>
      </c>
      <c r="AQ232">
        <v>7.0000000000000007E-2</v>
      </c>
    </row>
    <row r="233" spans="1:43" hidden="1" x14ac:dyDescent="0.25">
      <c r="A233" s="1">
        <v>46266</v>
      </c>
      <c r="B233" t="s">
        <v>32</v>
      </c>
      <c r="C233" t="s">
        <v>36</v>
      </c>
      <c r="D233" t="s">
        <v>36</v>
      </c>
      <c r="E233" t="s">
        <v>32</v>
      </c>
      <c r="F233" t="s">
        <v>34</v>
      </c>
      <c r="G233">
        <v>6</v>
      </c>
      <c r="H233">
        <v>0</v>
      </c>
      <c r="I233">
        <v>5</v>
      </c>
      <c r="J233">
        <v>0</v>
      </c>
      <c r="K233">
        <v>5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0.7</v>
      </c>
      <c r="S233">
        <v>0.21</v>
      </c>
      <c r="T233">
        <v>0.03</v>
      </c>
      <c r="U233">
        <v>480.72</v>
      </c>
      <c r="V233">
        <v>0</v>
      </c>
      <c r="W233">
        <v>0</v>
      </c>
      <c r="X233">
        <v>0</v>
      </c>
      <c r="Y233">
        <v>480.72</v>
      </c>
      <c r="Z233">
        <v>0</v>
      </c>
      <c r="AA233">
        <v>0</v>
      </c>
      <c r="AB233">
        <v>0</v>
      </c>
      <c r="AC233">
        <v>0.67</v>
      </c>
      <c r="AD233">
        <v>0</v>
      </c>
      <c r="AE233">
        <v>0.67</v>
      </c>
      <c r="AF233">
        <v>30</v>
      </c>
      <c r="AG233">
        <v>22</v>
      </c>
      <c r="AH233">
        <v>8</v>
      </c>
      <c r="AI233">
        <v>1</v>
      </c>
      <c r="AJ233">
        <v>21</v>
      </c>
      <c r="AK233">
        <v>7.5</v>
      </c>
      <c r="AL233">
        <v>0</v>
      </c>
      <c r="AM233">
        <v>0</v>
      </c>
      <c r="AN233">
        <v>0</v>
      </c>
      <c r="AO233">
        <v>0.01</v>
      </c>
      <c r="AP233">
        <v>0</v>
      </c>
      <c r="AQ233">
        <v>0.01</v>
      </c>
    </row>
    <row r="234" spans="1:43" hidden="1" x14ac:dyDescent="0.25">
      <c r="A234" s="1">
        <v>46266</v>
      </c>
      <c r="B234" t="s">
        <v>32</v>
      </c>
      <c r="C234" t="s">
        <v>37</v>
      </c>
      <c r="D234" t="s">
        <v>37</v>
      </c>
      <c r="E234" t="s">
        <v>32</v>
      </c>
      <c r="F234" t="s">
        <v>34</v>
      </c>
      <c r="G234">
        <v>0</v>
      </c>
      <c r="H234">
        <v>0</v>
      </c>
      <c r="I234">
        <v>1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0.7</v>
      </c>
      <c r="S234">
        <v>0.21</v>
      </c>
      <c r="T234">
        <v>0.03</v>
      </c>
      <c r="U234">
        <v>299.33</v>
      </c>
      <c r="V234">
        <v>0</v>
      </c>
      <c r="W234">
        <v>0</v>
      </c>
      <c r="X234">
        <v>0</v>
      </c>
      <c r="Y234">
        <v>299.33</v>
      </c>
      <c r="Z234">
        <v>0</v>
      </c>
      <c r="AA234">
        <v>0</v>
      </c>
      <c r="AB234">
        <v>0</v>
      </c>
      <c r="AC234">
        <v>0.08</v>
      </c>
      <c r="AD234">
        <v>0</v>
      </c>
      <c r="AE234">
        <v>0.08</v>
      </c>
      <c r="AF234">
        <v>30</v>
      </c>
      <c r="AG234">
        <v>22</v>
      </c>
      <c r="AH234">
        <v>8</v>
      </c>
      <c r="AI234">
        <v>1</v>
      </c>
      <c r="AJ234">
        <v>21</v>
      </c>
      <c r="AK234">
        <v>7.5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</row>
    <row r="235" spans="1:43" hidden="1" x14ac:dyDescent="0.25">
      <c r="A235" s="1">
        <v>46266</v>
      </c>
      <c r="B235" t="s">
        <v>32</v>
      </c>
      <c r="C235" t="s">
        <v>38</v>
      </c>
      <c r="D235" t="s">
        <v>38</v>
      </c>
      <c r="E235" t="s">
        <v>32</v>
      </c>
      <c r="F235" t="s">
        <v>34</v>
      </c>
      <c r="G235">
        <v>4527</v>
      </c>
      <c r="H235">
        <v>0</v>
      </c>
      <c r="I235">
        <v>4016</v>
      </c>
      <c r="J235">
        <v>-116</v>
      </c>
      <c r="K235">
        <v>3900</v>
      </c>
      <c r="L235">
        <v>0</v>
      </c>
      <c r="M235">
        <v>0</v>
      </c>
      <c r="N235">
        <v>0</v>
      </c>
      <c r="O235">
        <v>0</v>
      </c>
      <c r="P235">
        <v>0.53320000000000001</v>
      </c>
      <c r="Q235">
        <v>0.46679999999999999</v>
      </c>
      <c r="R235">
        <v>0.7</v>
      </c>
      <c r="S235">
        <v>0.21</v>
      </c>
      <c r="T235">
        <v>0.03</v>
      </c>
      <c r="U235">
        <v>602.35</v>
      </c>
      <c r="V235">
        <v>0.7</v>
      </c>
      <c r="W235">
        <v>0.21</v>
      </c>
      <c r="X235">
        <v>0.03</v>
      </c>
      <c r="Y235">
        <v>602.35</v>
      </c>
      <c r="Z235">
        <v>0</v>
      </c>
      <c r="AA235">
        <v>0</v>
      </c>
      <c r="AB235">
        <v>0</v>
      </c>
      <c r="AC235">
        <v>347.94</v>
      </c>
      <c r="AD235">
        <v>304.61</v>
      </c>
      <c r="AE235">
        <v>652.54999999999995</v>
      </c>
      <c r="AF235">
        <v>30</v>
      </c>
      <c r="AG235">
        <v>22</v>
      </c>
      <c r="AH235">
        <v>8</v>
      </c>
      <c r="AI235">
        <v>1</v>
      </c>
      <c r="AJ235">
        <v>21</v>
      </c>
      <c r="AK235">
        <v>7.5</v>
      </c>
      <c r="AL235">
        <v>0</v>
      </c>
      <c r="AM235">
        <v>0</v>
      </c>
      <c r="AN235">
        <v>0</v>
      </c>
      <c r="AO235">
        <v>4.1100000000000003</v>
      </c>
      <c r="AP235">
        <v>3.6</v>
      </c>
      <c r="AQ235">
        <v>7.71</v>
      </c>
    </row>
    <row r="236" spans="1:43" hidden="1" x14ac:dyDescent="0.25">
      <c r="A236" s="1">
        <v>46266</v>
      </c>
      <c r="B236" t="s">
        <v>32</v>
      </c>
      <c r="C236" t="s">
        <v>39</v>
      </c>
      <c r="D236" t="s">
        <v>39</v>
      </c>
      <c r="E236" t="s">
        <v>32</v>
      </c>
      <c r="F236" t="s">
        <v>34</v>
      </c>
      <c r="G236">
        <v>147</v>
      </c>
      <c r="H236">
        <v>0</v>
      </c>
      <c r="I236">
        <v>53</v>
      </c>
      <c r="J236">
        <v>0</v>
      </c>
      <c r="K236">
        <v>53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0</v>
      </c>
      <c r="R236">
        <v>0.7</v>
      </c>
      <c r="S236">
        <v>0.21</v>
      </c>
      <c r="T236">
        <v>0.03</v>
      </c>
      <c r="U236">
        <v>462.54</v>
      </c>
      <c r="V236">
        <v>0</v>
      </c>
      <c r="W236">
        <v>0</v>
      </c>
      <c r="X236">
        <v>0</v>
      </c>
      <c r="Y236">
        <v>462.54</v>
      </c>
      <c r="Z236">
        <v>0</v>
      </c>
      <c r="AA236">
        <v>0</v>
      </c>
      <c r="AB236">
        <v>0</v>
      </c>
      <c r="AC236">
        <v>6.81</v>
      </c>
      <c r="AD236">
        <v>0</v>
      </c>
      <c r="AE236">
        <v>6.81</v>
      </c>
      <c r="AF236">
        <v>30</v>
      </c>
      <c r="AG236">
        <v>22</v>
      </c>
      <c r="AH236">
        <v>8</v>
      </c>
      <c r="AI236">
        <v>1</v>
      </c>
      <c r="AJ236">
        <v>21</v>
      </c>
      <c r="AK236">
        <v>7.5</v>
      </c>
      <c r="AL236">
        <v>0</v>
      </c>
      <c r="AM236">
        <v>0</v>
      </c>
      <c r="AN236">
        <v>0</v>
      </c>
      <c r="AO236">
        <v>0.08</v>
      </c>
      <c r="AP236">
        <v>0</v>
      </c>
      <c r="AQ236">
        <v>0.08</v>
      </c>
    </row>
    <row r="237" spans="1:43" hidden="1" x14ac:dyDescent="0.25">
      <c r="A237" s="1">
        <v>46266</v>
      </c>
      <c r="B237" t="s">
        <v>32</v>
      </c>
      <c r="C237" t="s">
        <v>40</v>
      </c>
      <c r="D237" t="s">
        <v>40</v>
      </c>
      <c r="E237" t="s">
        <v>32</v>
      </c>
      <c r="F237" t="s">
        <v>34</v>
      </c>
      <c r="G237">
        <v>42</v>
      </c>
      <c r="H237">
        <v>0</v>
      </c>
      <c r="I237">
        <v>45</v>
      </c>
      <c r="J237">
        <v>0</v>
      </c>
      <c r="K237">
        <v>45</v>
      </c>
      <c r="L237">
        <v>0</v>
      </c>
      <c r="M237">
        <v>0</v>
      </c>
      <c r="N237">
        <v>0</v>
      </c>
      <c r="O237">
        <v>0</v>
      </c>
      <c r="P237">
        <v>0.1043</v>
      </c>
      <c r="Q237">
        <v>0.89570000000000005</v>
      </c>
      <c r="R237">
        <v>0.7</v>
      </c>
      <c r="S237">
        <v>0.21</v>
      </c>
      <c r="T237">
        <v>0.03</v>
      </c>
      <c r="U237">
        <v>653.49</v>
      </c>
      <c r="V237">
        <v>0.7</v>
      </c>
      <c r="W237">
        <v>0.21</v>
      </c>
      <c r="X237">
        <v>0.03</v>
      </c>
      <c r="Y237">
        <v>653.49</v>
      </c>
      <c r="Z237">
        <v>0</v>
      </c>
      <c r="AA237">
        <v>0</v>
      </c>
      <c r="AB237">
        <v>0</v>
      </c>
      <c r="AC237">
        <v>0.85</v>
      </c>
      <c r="AD237">
        <v>7.32</v>
      </c>
      <c r="AE237">
        <v>8.17</v>
      </c>
      <c r="AF237">
        <v>30</v>
      </c>
      <c r="AG237">
        <v>22</v>
      </c>
      <c r="AH237">
        <v>8</v>
      </c>
      <c r="AI237">
        <v>1</v>
      </c>
      <c r="AJ237">
        <v>21</v>
      </c>
      <c r="AK237">
        <v>7.5</v>
      </c>
      <c r="AL237">
        <v>0</v>
      </c>
      <c r="AM237">
        <v>0</v>
      </c>
      <c r="AN237">
        <v>0</v>
      </c>
      <c r="AO237">
        <v>0.01</v>
      </c>
      <c r="AP237">
        <v>0.09</v>
      </c>
      <c r="AQ237">
        <v>9.9999999999999895E-2</v>
      </c>
    </row>
    <row r="238" spans="1:43" hidden="1" x14ac:dyDescent="0.25">
      <c r="A238" s="1">
        <v>46266</v>
      </c>
      <c r="B238" t="s">
        <v>32</v>
      </c>
      <c r="C238" t="s">
        <v>41</v>
      </c>
      <c r="D238" t="s">
        <v>41</v>
      </c>
      <c r="E238" t="s">
        <v>32</v>
      </c>
      <c r="F238" t="s">
        <v>34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t="s">
        <v>125</v>
      </c>
      <c r="Z238">
        <v>0</v>
      </c>
      <c r="AA238" t="s">
        <v>125</v>
      </c>
      <c r="AB238" t="s">
        <v>125</v>
      </c>
      <c r="AC238">
        <v>0</v>
      </c>
      <c r="AD238" t="s">
        <v>125</v>
      </c>
      <c r="AE238" t="s">
        <v>125</v>
      </c>
      <c r="AF238">
        <v>30</v>
      </c>
      <c r="AG238">
        <v>22</v>
      </c>
      <c r="AH238">
        <v>8</v>
      </c>
      <c r="AI238">
        <v>1</v>
      </c>
      <c r="AJ238">
        <v>21</v>
      </c>
      <c r="AK238">
        <v>7.5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</row>
    <row r="239" spans="1:43" hidden="1" x14ac:dyDescent="0.25">
      <c r="A239" s="1">
        <v>46266</v>
      </c>
      <c r="B239" t="s">
        <v>32</v>
      </c>
      <c r="C239" t="s">
        <v>42</v>
      </c>
      <c r="D239" t="s">
        <v>42</v>
      </c>
      <c r="E239" t="s">
        <v>32</v>
      </c>
      <c r="F239" t="s">
        <v>34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125</v>
      </c>
      <c r="Z239">
        <v>0</v>
      </c>
      <c r="AA239" t="s">
        <v>125</v>
      </c>
      <c r="AB239" t="s">
        <v>125</v>
      </c>
      <c r="AC239">
        <v>0</v>
      </c>
      <c r="AD239" t="s">
        <v>125</v>
      </c>
      <c r="AE239" t="s">
        <v>125</v>
      </c>
      <c r="AF239">
        <v>30</v>
      </c>
      <c r="AG239">
        <v>22</v>
      </c>
      <c r="AH239">
        <v>8</v>
      </c>
      <c r="AI239">
        <v>1</v>
      </c>
      <c r="AJ239">
        <v>21</v>
      </c>
      <c r="AK239">
        <v>7.5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</row>
    <row r="240" spans="1:43" hidden="1" x14ac:dyDescent="0.25">
      <c r="A240" s="1">
        <v>46266</v>
      </c>
      <c r="B240" t="s">
        <v>32</v>
      </c>
      <c r="C240" t="s">
        <v>43</v>
      </c>
      <c r="D240" t="s">
        <v>43</v>
      </c>
      <c r="E240" t="s">
        <v>32</v>
      </c>
      <c r="F240" t="s">
        <v>34</v>
      </c>
      <c r="G240">
        <v>2</v>
      </c>
      <c r="H240">
        <v>0</v>
      </c>
      <c r="I240">
        <v>2</v>
      </c>
      <c r="J240">
        <v>0</v>
      </c>
      <c r="K240">
        <v>2</v>
      </c>
      <c r="L240">
        <v>0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0.7</v>
      </c>
      <c r="S240">
        <v>0.21</v>
      </c>
      <c r="T240">
        <v>0.03</v>
      </c>
      <c r="U240">
        <v>344.84</v>
      </c>
      <c r="V240">
        <v>0</v>
      </c>
      <c r="W240">
        <v>0</v>
      </c>
      <c r="X240">
        <v>0</v>
      </c>
      <c r="Y240">
        <v>344.84</v>
      </c>
      <c r="Z240">
        <v>0</v>
      </c>
      <c r="AA240">
        <v>0</v>
      </c>
      <c r="AB240">
        <v>0</v>
      </c>
      <c r="AC240">
        <v>0.19</v>
      </c>
      <c r="AD240">
        <v>0</v>
      </c>
      <c r="AE240">
        <v>0.19</v>
      </c>
      <c r="AF240">
        <v>30</v>
      </c>
      <c r="AG240">
        <v>22</v>
      </c>
      <c r="AH240">
        <v>8</v>
      </c>
      <c r="AI240">
        <v>1</v>
      </c>
      <c r="AJ240">
        <v>21</v>
      </c>
      <c r="AK240">
        <v>7.5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</row>
    <row r="241" spans="1:43" hidden="1" x14ac:dyDescent="0.25">
      <c r="A241" s="1">
        <v>46266</v>
      </c>
      <c r="B241" t="s">
        <v>32</v>
      </c>
      <c r="C241" t="s">
        <v>44</v>
      </c>
      <c r="D241" t="s">
        <v>44</v>
      </c>
      <c r="E241" t="s">
        <v>32</v>
      </c>
      <c r="F241" t="s">
        <v>34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0.7</v>
      </c>
      <c r="S241">
        <v>0.21</v>
      </c>
      <c r="T241">
        <v>0.03</v>
      </c>
      <c r="U241">
        <v>0</v>
      </c>
      <c r="V241">
        <v>0</v>
      </c>
      <c r="W241">
        <v>0</v>
      </c>
      <c r="X241">
        <v>0</v>
      </c>
      <c r="Y241" t="s">
        <v>125</v>
      </c>
      <c r="Z241">
        <v>0</v>
      </c>
      <c r="AA241" t="s">
        <v>125</v>
      </c>
      <c r="AB241" t="s">
        <v>125</v>
      </c>
      <c r="AC241">
        <v>0</v>
      </c>
      <c r="AD241" t="s">
        <v>125</v>
      </c>
      <c r="AE241" t="s">
        <v>125</v>
      </c>
      <c r="AF241">
        <v>30</v>
      </c>
      <c r="AG241">
        <v>22</v>
      </c>
      <c r="AH241">
        <v>8</v>
      </c>
      <c r="AI241">
        <v>1</v>
      </c>
      <c r="AJ241">
        <v>21</v>
      </c>
      <c r="AK241">
        <v>7.5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</row>
    <row r="242" spans="1:43" hidden="1" x14ac:dyDescent="0.25">
      <c r="A242" s="1">
        <v>46296</v>
      </c>
      <c r="B242" t="s">
        <v>32</v>
      </c>
      <c r="C242" t="s">
        <v>33</v>
      </c>
      <c r="D242" t="s">
        <v>33</v>
      </c>
      <c r="E242" t="s">
        <v>32</v>
      </c>
      <c r="F242" t="s">
        <v>34</v>
      </c>
      <c r="G242">
        <v>27</v>
      </c>
      <c r="H242">
        <v>0</v>
      </c>
      <c r="I242">
        <v>32</v>
      </c>
      <c r="J242">
        <v>0</v>
      </c>
      <c r="K242">
        <v>32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0.7</v>
      </c>
      <c r="S242">
        <v>0.21</v>
      </c>
      <c r="T242">
        <v>0.03</v>
      </c>
      <c r="U242">
        <v>286.55</v>
      </c>
      <c r="V242">
        <v>0</v>
      </c>
      <c r="W242">
        <v>0</v>
      </c>
      <c r="X242">
        <v>0</v>
      </c>
      <c r="Y242">
        <v>286.55</v>
      </c>
      <c r="Z242">
        <v>0</v>
      </c>
      <c r="AA242">
        <v>0</v>
      </c>
      <c r="AB242">
        <v>0</v>
      </c>
      <c r="AC242">
        <v>2.5499999999999998</v>
      </c>
      <c r="AD242">
        <v>0</v>
      </c>
      <c r="AE242">
        <v>2.5499999999999998</v>
      </c>
      <c r="AF242">
        <v>31</v>
      </c>
      <c r="AG242">
        <v>22</v>
      </c>
      <c r="AH242">
        <v>9</v>
      </c>
      <c r="AI242">
        <v>0</v>
      </c>
      <c r="AJ242">
        <v>22</v>
      </c>
      <c r="AK242">
        <v>7.5</v>
      </c>
      <c r="AL242">
        <v>0</v>
      </c>
      <c r="AM242">
        <v>0</v>
      </c>
      <c r="AN242">
        <v>0</v>
      </c>
      <c r="AO242">
        <v>0.03</v>
      </c>
      <c r="AP242">
        <v>0</v>
      </c>
      <c r="AQ242">
        <v>0.03</v>
      </c>
    </row>
    <row r="243" spans="1:43" hidden="1" x14ac:dyDescent="0.25">
      <c r="A243" s="1">
        <v>46296</v>
      </c>
      <c r="B243" t="s">
        <v>32</v>
      </c>
      <c r="C243" t="s">
        <v>32</v>
      </c>
      <c r="D243" t="s">
        <v>32</v>
      </c>
      <c r="E243" t="s">
        <v>32</v>
      </c>
      <c r="F243" t="s">
        <v>35</v>
      </c>
      <c r="G243">
        <v>352</v>
      </c>
      <c r="H243">
        <v>0</v>
      </c>
      <c r="I243">
        <v>180</v>
      </c>
      <c r="J243">
        <v>15</v>
      </c>
      <c r="K243">
        <v>195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0</v>
      </c>
      <c r="R243">
        <v>0.7</v>
      </c>
      <c r="S243">
        <v>0.21</v>
      </c>
      <c r="T243">
        <v>0.03</v>
      </c>
      <c r="U243">
        <v>1789.08</v>
      </c>
      <c r="V243">
        <v>0</v>
      </c>
      <c r="W243">
        <v>0</v>
      </c>
      <c r="X243">
        <v>0</v>
      </c>
      <c r="Y243">
        <v>1789.08</v>
      </c>
      <c r="Z243">
        <v>0</v>
      </c>
      <c r="AA243">
        <v>0</v>
      </c>
      <c r="AB243">
        <v>0</v>
      </c>
      <c r="AC243">
        <v>96.91</v>
      </c>
      <c r="AD243">
        <v>0</v>
      </c>
      <c r="AE243">
        <v>96.91</v>
      </c>
      <c r="AF243">
        <v>31</v>
      </c>
      <c r="AG243">
        <v>22</v>
      </c>
      <c r="AH243">
        <v>9</v>
      </c>
      <c r="AI243">
        <v>0</v>
      </c>
      <c r="AJ243">
        <v>22</v>
      </c>
      <c r="AK243">
        <v>7.5</v>
      </c>
      <c r="AL243">
        <v>0</v>
      </c>
      <c r="AM243">
        <v>0</v>
      </c>
      <c r="AN243">
        <v>0</v>
      </c>
      <c r="AO243">
        <v>1.0900000000000001</v>
      </c>
      <c r="AP243">
        <v>0</v>
      </c>
      <c r="AQ243">
        <v>1.0900000000000001</v>
      </c>
    </row>
    <row r="244" spans="1:43" hidden="1" x14ac:dyDescent="0.25">
      <c r="A244" s="1">
        <v>46296</v>
      </c>
      <c r="B244" t="s">
        <v>32</v>
      </c>
      <c r="C244" t="s">
        <v>32</v>
      </c>
      <c r="D244" t="s">
        <v>32</v>
      </c>
      <c r="E244" t="s">
        <v>32</v>
      </c>
      <c r="F244" t="s">
        <v>45</v>
      </c>
      <c r="G244">
        <v>0</v>
      </c>
      <c r="H244">
        <v>0</v>
      </c>
      <c r="I244">
        <v>0</v>
      </c>
      <c r="J244">
        <v>20</v>
      </c>
      <c r="K244">
        <v>20</v>
      </c>
      <c r="L244">
        <v>0</v>
      </c>
      <c r="M244">
        <v>0</v>
      </c>
      <c r="N244">
        <v>0</v>
      </c>
      <c r="O244">
        <v>0</v>
      </c>
      <c r="P244">
        <v>1</v>
      </c>
      <c r="Q244">
        <v>0</v>
      </c>
      <c r="R244">
        <v>0.7</v>
      </c>
      <c r="S244">
        <v>0.21</v>
      </c>
      <c r="T244">
        <v>0.03</v>
      </c>
      <c r="U244">
        <v>1080</v>
      </c>
      <c r="V244">
        <v>0.7</v>
      </c>
      <c r="W244">
        <v>0.21</v>
      </c>
      <c r="X244">
        <v>0.03</v>
      </c>
      <c r="Y244">
        <v>1080</v>
      </c>
      <c r="Z244">
        <v>0</v>
      </c>
      <c r="AA244">
        <v>0</v>
      </c>
      <c r="AB244">
        <v>0</v>
      </c>
      <c r="AC244">
        <v>6</v>
      </c>
      <c r="AD244">
        <v>0</v>
      </c>
      <c r="AE244">
        <v>6</v>
      </c>
      <c r="AF244">
        <v>31</v>
      </c>
      <c r="AG244">
        <v>22</v>
      </c>
      <c r="AH244">
        <v>9</v>
      </c>
      <c r="AI244">
        <v>0</v>
      </c>
      <c r="AJ244">
        <v>22</v>
      </c>
      <c r="AK244">
        <v>7.5</v>
      </c>
      <c r="AL244">
        <v>0</v>
      </c>
      <c r="AM244">
        <v>0</v>
      </c>
      <c r="AN244">
        <v>0</v>
      </c>
      <c r="AO244">
        <v>7.0000000000000007E-2</v>
      </c>
      <c r="AP244">
        <v>0</v>
      </c>
      <c r="AQ244">
        <v>7.0000000000000007E-2</v>
      </c>
    </row>
    <row r="245" spans="1:43" hidden="1" x14ac:dyDescent="0.25">
      <c r="A245" s="1">
        <v>46296</v>
      </c>
      <c r="B245" t="s">
        <v>32</v>
      </c>
      <c r="C245" t="s">
        <v>36</v>
      </c>
      <c r="D245" t="s">
        <v>36</v>
      </c>
      <c r="E245" t="s">
        <v>32</v>
      </c>
      <c r="F245" t="s">
        <v>34</v>
      </c>
      <c r="G245">
        <v>7</v>
      </c>
      <c r="H245">
        <v>0</v>
      </c>
      <c r="I245">
        <v>5</v>
      </c>
      <c r="J245">
        <v>0</v>
      </c>
      <c r="K245">
        <v>5</v>
      </c>
      <c r="L245">
        <v>0</v>
      </c>
      <c r="M245">
        <v>0</v>
      </c>
      <c r="N245">
        <v>0</v>
      </c>
      <c r="O245">
        <v>0</v>
      </c>
      <c r="P245">
        <v>1</v>
      </c>
      <c r="Q245">
        <v>0</v>
      </c>
      <c r="R245">
        <v>0.7</v>
      </c>
      <c r="S245">
        <v>0.21</v>
      </c>
      <c r="T245">
        <v>0.03</v>
      </c>
      <c r="U245">
        <v>480.72</v>
      </c>
      <c r="V245">
        <v>0</v>
      </c>
      <c r="W245">
        <v>0</v>
      </c>
      <c r="X245">
        <v>0</v>
      </c>
      <c r="Y245">
        <v>480.72</v>
      </c>
      <c r="Z245">
        <v>0</v>
      </c>
      <c r="AA245">
        <v>0</v>
      </c>
      <c r="AB245">
        <v>0</v>
      </c>
      <c r="AC245">
        <v>0.67</v>
      </c>
      <c r="AD245">
        <v>0</v>
      </c>
      <c r="AE245">
        <v>0.67</v>
      </c>
      <c r="AF245">
        <v>31</v>
      </c>
      <c r="AG245">
        <v>22</v>
      </c>
      <c r="AH245">
        <v>9</v>
      </c>
      <c r="AI245">
        <v>0</v>
      </c>
      <c r="AJ245">
        <v>22</v>
      </c>
      <c r="AK245">
        <v>7.5</v>
      </c>
      <c r="AL245">
        <v>0</v>
      </c>
      <c r="AM245">
        <v>0</v>
      </c>
      <c r="AN245">
        <v>0</v>
      </c>
      <c r="AO245">
        <v>0.01</v>
      </c>
      <c r="AP245">
        <v>0</v>
      </c>
      <c r="AQ245">
        <v>0.01</v>
      </c>
    </row>
    <row r="246" spans="1:43" hidden="1" x14ac:dyDescent="0.25">
      <c r="A246" s="1">
        <v>46296</v>
      </c>
      <c r="B246" t="s">
        <v>32</v>
      </c>
      <c r="C246" t="s">
        <v>37</v>
      </c>
      <c r="D246" t="s">
        <v>37</v>
      </c>
      <c r="E246" t="s">
        <v>32</v>
      </c>
      <c r="F246" t="s">
        <v>34</v>
      </c>
      <c r="G246">
        <v>2</v>
      </c>
      <c r="H246">
        <v>0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0.7</v>
      </c>
      <c r="S246">
        <v>0.21</v>
      </c>
      <c r="T246">
        <v>0.03</v>
      </c>
      <c r="U246">
        <v>299.33</v>
      </c>
      <c r="V246">
        <v>0</v>
      </c>
      <c r="W246">
        <v>0</v>
      </c>
      <c r="X246">
        <v>0</v>
      </c>
      <c r="Y246">
        <v>299.33</v>
      </c>
      <c r="Z246">
        <v>0</v>
      </c>
      <c r="AA246">
        <v>0</v>
      </c>
      <c r="AB246">
        <v>0</v>
      </c>
      <c r="AC246">
        <v>0.08</v>
      </c>
      <c r="AD246">
        <v>0</v>
      </c>
      <c r="AE246">
        <v>0.08</v>
      </c>
      <c r="AF246">
        <v>31</v>
      </c>
      <c r="AG246">
        <v>22</v>
      </c>
      <c r="AH246">
        <v>9</v>
      </c>
      <c r="AI246">
        <v>0</v>
      </c>
      <c r="AJ246">
        <v>22</v>
      </c>
      <c r="AK246">
        <v>7.5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</row>
    <row r="247" spans="1:43" hidden="1" x14ac:dyDescent="0.25">
      <c r="A247" s="1">
        <v>46296</v>
      </c>
      <c r="B247" t="s">
        <v>32</v>
      </c>
      <c r="C247" t="s">
        <v>38</v>
      </c>
      <c r="D247" t="s">
        <v>38</v>
      </c>
      <c r="E247" t="s">
        <v>32</v>
      </c>
      <c r="F247" t="s">
        <v>34</v>
      </c>
      <c r="G247">
        <v>4708</v>
      </c>
      <c r="H247">
        <v>0</v>
      </c>
      <c r="I247">
        <v>4230</v>
      </c>
      <c r="J247">
        <v>-250</v>
      </c>
      <c r="K247">
        <v>3980</v>
      </c>
      <c r="L247">
        <v>0</v>
      </c>
      <c r="M247">
        <v>0</v>
      </c>
      <c r="N247">
        <v>0</v>
      </c>
      <c r="O247">
        <v>0</v>
      </c>
      <c r="P247">
        <v>0.53320000000000001</v>
      </c>
      <c r="Q247">
        <v>0.46679999999999999</v>
      </c>
      <c r="R247">
        <v>0.7</v>
      </c>
      <c r="S247">
        <v>0.21</v>
      </c>
      <c r="T247">
        <v>0.03</v>
      </c>
      <c r="U247">
        <v>602.35</v>
      </c>
      <c r="V247">
        <v>0.7</v>
      </c>
      <c r="W247">
        <v>0.21</v>
      </c>
      <c r="X247">
        <v>0.03</v>
      </c>
      <c r="Y247">
        <v>602.35</v>
      </c>
      <c r="Z247">
        <v>0</v>
      </c>
      <c r="AA247">
        <v>0</v>
      </c>
      <c r="AB247">
        <v>0</v>
      </c>
      <c r="AC247">
        <v>355.07</v>
      </c>
      <c r="AD247">
        <v>310.86</v>
      </c>
      <c r="AE247">
        <v>665.93</v>
      </c>
      <c r="AF247">
        <v>31</v>
      </c>
      <c r="AG247">
        <v>22</v>
      </c>
      <c r="AH247">
        <v>9</v>
      </c>
      <c r="AI247">
        <v>0</v>
      </c>
      <c r="AJ247">
        <v>22</v>
      </c>
      <c r="AK247">
        <v>7.5</v>
      </c>
      <c r="AL247">
        <v>0</v>
      </c>
      <c r="AM247">
        <v>0</v>
      </c>
      <c r="AN247">
        <v>0</v>
      </c>
      <c r="AO247">
        <v>4.01</v>
      </c>
      <c r="AP247">
        <v>3.51</v>
      </c>
      <c r="AQ247">
        <v>7.52</v>
      </c>
    </row>
    <row r="248" spans="1:43" hidden="1" x14ac:dyDescent="0.25">
      <c r="A248" s="1">
        <v>46296</v>
      </c>
      <c r="B248" t="s">
        <v>32</v>
      </c>
      <c r="C248" t="s">
        <v>39</v>
      </c>
      <c r="D248" t="s">
        <v>39</v>
      </c>
      <c r="E248" t="s">
        <v>32</v>
      </c>
      <c r="F248" t="s">
        <v>34</v>
      </c>
      <c r="G248">
        <v>180</v>
      </c>
      <c r="H248">
        <v>0</v>
      </c>
      <c r="I248">
        <v>68</v>
      </c>
      <c r="J248">
        <v>0</v>
      </c>
      <c r="K248">
        <v>68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0</v>
      </c>
      <c r="R248">
        <v>0.7</v>
      </c>
      <c r="S248">
        <v>0.21</v>
      </c>
      <c r="T248">
        <v>0.03</v>
      </c>
      <c r="U248">
        <v>462.54</v>
      </c>
      <c r="V248">
        <v>0</v>
      </c>
      <c r="W248">
        <v>0</v>
      </c>
      <c r="X248">
        <v>0</v>
      </c>
      <c r="Y248">
        <v>462.54</v>
      </c>
      <c r="Z248">
        <v>0</v>
      </c>
      <c r="AA248">
        <v>0</v>
      </c>
      <c r="AB248">
        <v>0</v>
      </c>
      <c r="AC248">
        <v>8.74</v>
      </c>
      <c r="AD248">
        <v>0</v>
      </c>
      <c r="AE248">
        <v>8.74</v>
      </c>
      <c r="AF248">
        <v>31</v>
      </c>
      <c r="AG248">
        <v>22</v>
      </c>
      <c r="AH248">
        <v>9</v>
      </c>
      <c r="AI248">
        <v>0</v>
      </c>
      <c r="AJ248">
        <v>22</v>
      </c>
      <c r="AK248">
        <v>7.5</v>
      </c>
      <c r="AL248">
        <v>0</v>
      </c>
      <c r="AM248">
        <v>0</v>
      </c>
      <c r="AN248">
        <v>0</v>
      </c>
      <c r="AO248">
        <v>0.1</v>
      </c>
      <c r="AP248">
        <v>0</v>
      </c>
      <c r="AQ248">
        <v>0.1</v>
      </c>
    </row>
    <row r="249" spans="1:43" hidden="1" x14ac:dyDescent="0.25">
      <c r="A249" s="1">
        <v>46296</v>
      </c>
      <c r="B249" t="s">
        <v>32</v>
      </c>
      <c r="C249" t="s">
        <v>40</v>
      </c>
      <c r="D249" t="s">
        <v>40</v>
      </c>
      <c r="E249" t="s">
        <v>32</v>
      </c>
      <c r="F249" t="s">
        <v>34</v>
      </c>
      <c r="G249">
        <v>53</v>
      </c>
      <c r="H249">
        <v>0</v>
      </c>
      <c r="I249">
        <v>47</v>
      </c>
      <c r="J249">
        <v>0</v>
      </c>
      <c r="K249">
        <v>47</v>
      </c>
      <c r="L249">
        <v>0</v>
      </c>
      <c r="M249">
        <v>0</v>
      </c>
      <c r="N249">
        <v>0</v>
      </c>
      <c r="O249">
        <v>0</v>
      </c>
      <c r="P249">
        <v>0.1043</v>
      </c>
      <c r="Q249">
        <v>0.89570000000000005</v>
      </c>
      <c r="R249">
        <v>0.7</v>
      </c>
      <c r="S249">
        <v>0.21</v>
      </c>
      <c r="T249">
        <v>0.03</v>
      </c>
      <c r="U249">
        <v>653.49</v>
      </c>
      <c r="V249">
        <v>0.7</v>
      </c>
      <c r="W249">
        <v>0.21</v>
      </c>
      <c r="X249">
        <v>0.03</v>
      </c>
      <c r="Y249">
        <v>653.49</v>
      </c>
      <c r="Z249">
        <v>0</v>
      </c>
      <c r="AA249">
        <v>0</v>
      </c>
      <c r="AB249">
        <v>0</v>
      </c>
      <c r="AC249">
        <v>0.89</v>
      </c>
      <c r="AD249">
        <v>7.64</v>
      </c>
      <c r="AE249">
        <v>8.5299999999999994</v>
      </c>
      <c r="AF249">
        <v>31</v>
      </c>
      <c r="AG249">
        <v>22</v>
      </c>
      <c r="AH249">
        <v>9</v>
      </c>
      <c r="AI249">
        <v>0</v>
      </c>
      <c r="AJ249">
        <v>22</v>
      </c>
      <c r="AK249">
        <v>7.5</v>
      </c>
      <c r="AL249">
        <v>0</v>
      </c>
      <c r="AM249">
        <v>0</v>
      </c>
      <c r="AN249">
        <v>0</v>
      </c>
      <c r="AO249">
        <v>0.01</v>
      </c>
      <c r="AP249">
        <v>0.09</v>
      </c>
      <c r="AQ249">
        <v>9.9999999999999895E-2</v>
      </c>
    </row>
    <row r="250" spans="1:43" hidden="1" x14ac:dyDescent="0.25">
      <c r="A250" s="1">
        <v>46296</v>
      </c>
      <c r="B250" t="s">
        <v>32</v>
      </c>
      <c r="C250" t="s">
        <v>41</v>
      </c>
      <c r="D250" t="s">
        <v>41</v>
      </c>
      <c r="E250" t="s">
        <v>32</v>
      </c>
      <c r="F250" t="s">
        <v>34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125</v>
      </c>
      <c r="Z250">
        <v>0</v>
      </c>
      <c r="AA250" t="s">
        <v>125</v>
      </c>
      <c r="AB250" t="s">
        <v>125</v>
      </c>
      <c r="AC250">
        <v>0</v>
      </c>
      <c r="AD250" t="s">
        <v>125</v>
      </c>
      <c r="AE250" t="s">
        <v>125</v>
      </c>
      <c r="AF250">
        <v>31</v>
      </c>
      <c r="AG250">
        <v>22</v>
      </c>
      <c r="AH250">
        <v>9</v>
      </c>
      <c r="AI250">
        <v>0</v>
      </c>
      <c r="AJ250">
        <v>22</v>
      </c>
      <c r="AK250">
        <v>7.5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</row>
    <row r="251" spans="1:43" hidden="1" x14ac:dyDescent="0.25">
      <c r="A251" s="1">
        <v>46296</v>
      </c>
      <c r="B251" t="s">
        <v>32</v>
      </c>
      <c r="C251" t="s">
        <v>42</v>
      </c>
      <c r="D251" t="s">
        <v>42</v>
      </c>
      <c r="E251" t="s">
        <v>32</v>
      </c>
      <c r="F251" t="s">
        <v>34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1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125</v>
      </c>
      <c r="Z251">
        <v>0</v>
      </c>
      <c r="AA251" t="s">
        <v>125</v>
      </c>
      <c r="AB251" t="s">
        <v>125</v>
      </c>
      <c r="AC251">
        <v>0</v>
      </c>
      <c r="AD251" t="s">
        <v>125</v>
      </c>
      <c r="AE251" t="s">
        <v>125</v>
      </c>
      <c r="AF251">
        <v>31</v>
      </c>
      <c r="AG251">
        <v>22</v>
      </c>
      <c r="AH251">
        <v>9</v>
      </c>
      <c r="AI251">
        <v>0</v>
      </c>
      <c r="AJ251">
        <v>22</v>
      </c>
      <c r="AK251">
        <v>7.5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</row>
    <row r="252" spans="1:43" hidden="1" x14ac:dyDescent="0.25">
      <c r="A252" s="1">
        <v>46296</v>
      </c>
      <c r="B252" t="s">
        <v>32</v>
      </c>
      <c r="C252" t="s">
        <v>43</v>
      </c>
      <c r="D252" t="s">
        <v>43</v>
      </c>
      <c r="E252" t="s">
        <v>32</v>
      </c>
      <c r="F252" t="s">
        <v>34</v>
      </c>
      <c r="G252">
        <v>3</v>
      </c>
      <c r="H252">
        <v>0</v>
      </c>
      <c r="I252">
        <v>2</v>
      </c>
      <c r="J252">
        <v>0</v>
      </c>
      <c r="K252">
        <v>2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0.7</v>
      </c>
      <c r="S252">
        <v>0.21</v>
      </c>
      <c r="T252">
        <v>0.03</v>
      </c>
      <c r="U252">
        <v>344.84</v>
      </c>
      <c r="V252">
        <v>0</v>
      </c>
      <c r="W252">
        <v>0</v>
      </c>
      <c r="X252">
        <v>0</v>
      </c>
      <c r="Y252">
        <v>344.84</v>
      </c>
      <c r="Z252">
        <v>0</v>
      </c>
      <c r="AA252">
        <v>0</v>
      </c>
      <c r="AB252">
        <v>0</v>
      </c>
      <c r="AC252">
        <v>0.19</v>
      </c>
      <c r="AD252">
        <v>0</v>
      </c>
      <c r="AE252">
        <v>0.19</v>
      </c>
      <c r="AF252">
        <v>31</v>
      </c>
      <c r="AG252">
        <v>22</v>
      </c>
      <c r="AH252">
        <v>9</v>
      </c>
      <c r="AI252">
        <v>0</v>
      </c>
      <c r="AJ252">
        <v>22</v>
      </c>
      <c r="AK252">
        <v>7.5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</row>
    <row r="253" spans="1:43" hidden="1" x14ac:dyDescent="0.25">
      <c r="A253" s="1">
        <v>46296</v>
      </c>
      <c r="B253" t="s">
        <v>32</v>
      </c>
      <c r="C253" t="s">
        <v>44</v>
      </c>
      <c r="D253" t="s">
        <v>44</v>
      </c>
      <c r="E253" t="s">
        <v>32</v>
      </c>
      <c r="F253" t="s">
        <v>34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1</v>
      </c>
      <c r="Q253">
        <v>0</v>
      </c>
      <c r="R253">
        <v>0.7</v>
      </c>
      <c r="S253">
        <v>0.21</v>
      </c>
      <c r="T253">
        <v>0.03</v>
      </c>
      <c r="U253">
        <v>0</v>
      </c>
      <c r="V253">
        <v>0</v>
      </c>
      <c r="W253">
        <v>0</v>
      </c>
      <c r="X253">
        <v>0</v>
      </c>
      <c r="Y253" t="s">
        <v>125</v>
      </c>
      <c r="Z253">
        <v>0</v>
      </c>
      <c r="AA253" t="s">
        <v>125</v>
      </c>
      <c r="AB253" t="s">
        <v>125</v>
      </c>
      <c r="AC253">
        <v>0</v>
      </c>
      <c r="AD253" t="s">
        <v>125</v>
      </c>
      <c r="AE253" t="s">
        <v>125</v>
      </c>
      <c r="AF253">
        <v>31</v>
      </c>
      <c r="AG253">
        <v>22</v>
      </c>
      <c r="AH253">
        <v>9</v>
      </c>
      <c r="AI253">
        <v>0</v>
      </c>
      <c r="AJ253">
        <v>22</v>
      </c>
      <c r="AK253">
        <v>7.5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</row>
    <row r="254" spans="1:43" hidden="1" x14ac:dyDescent="0.25">
      <c r="A254" s="1">
        <v>46327</v>
      </c>
      <c r="B254" t="s">
        <v>32</v>
      </c>
      <c r="C254" t="s">
        <v>33</v>
      </c>
      <c r="D254" t="s">
        <v>33</v>
      </c>
      <c r="E254" t="s">
        <v>32</v>
      </c>
      <c r="F254" t="s">
        <v>34</v>
      </c>
      <c r="G254">
        <v>24</v>
      </c>
      <c r="H254">
        <v>0</v>
      </c>
      <c r="I254">
        <v>27</v>
      </c>
      <c r="J254">
        <v>0</v>
      </c>
      <c r="K254">
        <v>27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0.7</v>
      </c>
      <c r="S254">
        <v>0.21</v>
      </c>
      <c r="T254">
        <v>0.03</v>
      </c>
      <c r="U254">
        <v>286.55</v>
      </c>
      <c r="V254">
        <v>0</v>
      </c>
      <c r="W254">
        <v>0</v>
      </c>
      <c r="X254">
        <v>0</v>
      </c>
      <c r="Y254">
        <v>286.55</v>
      </c>
      <c r="Z254">
        <v>0</v>
      </c>
      <c r="AA254">
        <v>0</v>
      </c>
      <c r="AB254">
        <v>0</v>
      </c>
      <c r="AC254">
        <v>2.15</v>
      </c>
      <c r="AD254">
        <v>0</v>
      </c>
      <c r="AE254">
        <v>2.15</v>
      </c>
      <c r="AF254">
        <v>30</v>
      </c>
      <c r="AG254">
        <v>21</v>
      </c>
      <c r="AH254">
        <v>9</v>
      </c>
      <c r="AI254">
        <v>2</v>
      </c>
      <c r="AJ254">
        <v>19</v>
      </c>
      <c r="AK254">
        <v>7.5</v>
      </c>
      <c r="AL254">
        <v>0</v>
      </c>
      <c r="AM254">
        <v>0</v>
      </c>
      <c r="AN254">
        <v>0</v>
      </c>
      <c r="AO254">
        <v>0.03</v>
      </c>
      <c r="AP254">
        <v>0</v>
      </c>
      <c r="AQ254">
        <v>0.03</v>
      </c>
    </row>
    <row r="255" spans="1:43" hidden="1" x14ac:dyDescent="0.25">
      <c r="A255" s="1">
        <v>46327</v>
      </c>
      <c r="B255" t="s">
        <v>32</v>
      </c>
      <c r="C255" t="s">
        <v>32</v>
      </c>
      <c r="D255" t="s">
        <v>32</v>
      </c>
      <c r="E255" t="s">
        <v>32</v>
      </c>
      <c r="F255" t="s">
        <v>35</v>
      </c>
      <c r="G255">
        <v>136</v>
      </c>
      <c r="H255">
        <v>0</v>
      </c>
      <c r="I255">
        <v>155</v>
      </c>
      <c r="J255">
        <v>16</v>
      </c>
      <c r="K255">
        <v>171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0.7</v>
      </c>
      <c r="S255">
        <v>0.21</v>
      </c>
      <c r="T255">
        <v>0.03</v>
      </c>
      <c r="U255">
        <v>1789.08</v>
      </c>
      <c r="V255">
        <v>0</v>
      </c>
      <c r="W255">
        <v>0</v>
      </c>
      <c r="X255">
        <v>0</v>
      </c>
      <c r="Y255">
        <v>1789.08</v>
      </c>
      <c r="Z255">
        <v>0</v>
      </c>
      <c r="AA255">
        <v>0</v>
      </c>
      <c r="AB255">
        <v>0</v>
      </c>
      <c r="AC255">
        <v>84.98</v>
      </c>
      <c r="AD255">
        <v>0</v>
      </c>
      <c r="AE255">
        <v>84.98</v>
      </c>
      <c r="AF255">
        <v>30</v>
      </c>
      <c r="AG255">
        <v>21</v>
      </c>
      <c r="AH255">
        <v>9</v>
      </c>
      <c r="AI255">
        <v>2</v>
      </c>
      <c r="AJ255">
        <v>19</v>
      </c>
      <c r="AK255">
        <v>7.5</v>
      </c>
      <c r="AL255">
        <v>0</v>
      </c>
      <c r="AM255">
        <v>0</v>
      </c>
      <c r="AN255">
        <v>0</v>
      </c>
      <c r="AO255">
        <v>1.1100000000000001</v>
      </c>
      <c r="AP255">
        <v>0</v>
      </c>
      <c r="AQ255">
        <v>1.1100000000000001</v>
      </c>
    </row>
    <row r="256" spans="1:43" hidden="1" x14ac:dyDescent="0.25">
      <c r="A256" s="1">
        <v>46327</v>
      </c>
      <c r="B256" t="s">
        <v>32</v>
      </c>
      <c r="C256" t="s">
        <v>32</v>
      </c>
      <c r="D256" t="s">
        <v>32</v>
      </c>
      <c r="E256" t="s">
        <v>32</v>
      </c>
      <c r="F256" t="s">
        <v>45</v>
      </c>
      <c r="G256">
        <v>0</v>
      </c>
      <c r="H256">
        <v>0</v>
      </c>
      <c r="I256">
        <v>0</v>
      </c>
      <c r="J256">
        <v>20</v>
      </c>
      <c r="K256">
        <v>20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0.7</v>
      </c>
      <c r="S256">
        <v>0.21</v>
      </c>
      <c r="T256">
        <v>0.03</v>
      </c>
      <c r="U256">
        <v>1080</v>
      </c>
      <c r="V256">
        <v>0.7</v>
      </c>
      <c r="W256">
        <v>0.21</v>
      </c>
      <c r="X256">
        <v>0.03</v>
      </c>
      <c r="Y256">
        <v>1080</v>
      </c>
      <c r="Z256">
        <v>0</v>
      </c>
      <c r="AA256">
        <v>0</v>
      </c>
      <c r="AB256">
        <v>0</v>
      </c>
      <c r="AC256">
        <v>6</v>
      </c>
      <c r="AD256">
        <v>0</v>
      </c>
      <c r="AE256">
        <v>6</v>
      </c>
      <c r="AF256">
        <v>30</v>
      </c>
      <c r="AG256">
        <v>21</v>
      </c>
      <c r="AH256">
        <v>9</v>
      </c>
      <c r="AI256">
        <v>2</v>
      </c>
      <c r="AJ256">
        <v>19</v>
      </c>
      <c r="AK256">
        <v>7.5</v>
      </c>
      <c r="AL256">
        <v>0</v>
      </c>
      <c r="AM256">
        <v>0</v>
      </c>
      <c r="AN256">
        <v>0</v>
      </c>
      <c r="AO256">
        <v>0.08</v>
      </c>
      <c r="AP256">
        <v>0</v>
      </c>
      <c r="AQ256">
        <v>0.08</v>
      </c>
    </row>
    <row r="257" spans="1:43" hidden="1" x14ac:dyDescent="0.25">
      <c r="A257" s="1">
        <v>46327</v>
      </c>
      <c r="B257" t="s">
        <v>32</v>
      </c>
      <c r="C257" t="s">
        <v>36</v>
      </c>
      <c r="D257" t="s">
        <v>36</v>
      </c>
      <c r="E257" t="s">
        <v>32</v>
      </c>
      <c r="F257" t="s">
        <v>34</v>
      </c>
      <c r="G257">
        <v>10</v>
      </c>
      <c r="H257">
        <v>0</v>
      </c>
      <c r="I257">
        <v>7</v>
      </c>
      <c r="J257">
        <v>0</v>
      </c>
      <c r="K257">
        <v>7</v>
      </c>
      <c r="L257">
        <v>0</v>
      </c>
      <c r="M257">
        <v>0</v>
      </c>
      <c r="N257">
        <v>0</v>
      </c>
      <c r="O257">
        <v>0</v>
      </c>
      <c r="P257">
        <v>1</v>
      </c>
      <c r="Q257">
        <v>0</v>
      </c>
      <c r="R257">
        <v>0.7</v>
      </c>
      <c r="S257">
        <v>0.21</v>
      </c>
      <c r="T257">
        <v>0.03</v>
      </c>
      <c r="U257">
        <v>480.72</v>
      </c>
      <c r="V257">
        <v>0</v>
      </c>
      <c r="W257">
        <v>0</v>
      </c>
      <c r="X257">
        <v>0</v>
      </c>
      <c r="Y257">
        <v>480.72</v>
      </c>
      <c r="Z257">
        <v>0</v>
      </c>
      <c r="AA257">
        <v>0</v>
      </c>
      <c r="AB257">
        <v>0</v>
      </c>
      <c r="AC257">
        <v>0.93</v>
      </c>
      <c r="AD257">
        <v>0</v>
      </c>
      <c r="AE257">
        <v>0.93</v>
      </c>
      <c r="AF257">
        <v>30</v>
      </c>
      <c r="AG257">
        <v>21</v>
      </c>
      <c r="AH257">
        <v>9</v>
      </c>
      <c r="AI257">
        <v>2</v>
      </c>
      <c r="AJ257">
        <v>19</v>
      </c>
      <c r="AK257">
        <v>7.5</v>
      </c>
      <c r="AL257">
        <v>0</v>
      </c>
      <c r="AM257">
        <v>0</v>
      </c>
      <c r="AN257">
        <v>0</v>
      </c>
      <c r="AO257">
        <v>0.01</v>
      </c>
      <c r="AP257">
        <v>0</v>
      </c>
      <c r="AQ257">
        <v>0.01</v>
      </c>
    </row>
    <row r="258" spans="1:43" hidden="1" x14ac:dyDescent="0.25">
      <c r="A258" s="1">
        <v>46327</v>
      </c>
      <c r="B258" t="s">
        <v>32</v>
      </c>
      <c r="C258" t="s">
        <v>37</v>
      </c>
      <c r="D258" t="s">
        <v>37</v>
      </c>
      <c r="E258" t="s">
        <v>32</v>
      </c>
      <c r="F258" t="s">
        <v>34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1</v>
      </c>
      <c r="Q258">
        <v>0</v>
      </c>
      <c r="R258">
        <v>0.7</v>
      </c>
      <c r="S258">
        <v>0.21</v>
      </c>
      <c r="T258">
        <v>0.03</v>
      </c>
      <c r="U258">
        <v>299.33</v>
      </c>
      <c r="V258">
        <v>0</v>
      </c>
      <c r="W258">
        <v>0</v>
      </c>
      <c r="X258">
        <v>0</v>
      </c>
      <c r="Y258">
        <v>299.33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30</v>
      </c>
      <c r="AG258">
        <v>21</v>
      </c>
      <c r="AH258">
        <v>9</v>
      </c>
      <c r="AI258">
        <v>2</v>
      </c>
      <c r="AJ258">
        <v>19</v>
      </c>
      <c r="AK258">
        <v>7.5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</row>
    <row r="259" spans="1:43" hidden="1" x14ac:dyDescent="0.25">
      <c r="A259" s="1">
        <v>46327</v>
      </c>
      <c r="B259" t="s">
        <v>32</v>
      </c>
      <c r="C259" t="s">
        <v>38</v>
      </c>
      <c r="D259" t="s">
        <v>38</v>
      </c>
      <c r="E259" t="s">
        <v>32</v>
      </c>
      <c r="F259" t="s">
        <v>34</v>
      </c>
      <c r="G259">
        <v>3396</v>
      </c>
      <c r="H259">
        <v>0</v>
      </c>
      <c r="I259">
        <v>3639</v>
      </c>
      <c r="J259">
        <v>-260</v>
      </c>
      <c r="K259">
        <v>3379</v>
      </c>
      <c r="L259">
        <v>0</v>
      </c>
      <c r="M259">
        <v>0</v>
      </c>
      <c r="N259">
        <v>0</v>
      </c>
      <c r="O259">
        <v>0</v>
      </c>
      <c r="P259">
        <v>0.53320000000000001</v>
      </c>
      <c r="Q259">
        <v>0.46679999999999999</v>
      </c>
      <c r="R259">
        <v>0.7</v>
      </c>
      <c r="S259">
        <v>0.21</v>
      </c>
      <c r="T259">
        <v>0.03</v>
      </c>
      <c r="U259">
        <v>602.35</v>
      </c>
      <c r="V259">
        <v>0.7</v>
      </c>
      <c r="W259">
        <v>0.21</v>
      </c>
      <c r="X259">
        <v>0.03</v>
      </c>
      <c r="Y259">
        <v>602.35</v>
      </c>
      <c r="Z259">
        <v>0</v>
      </c>
      <c r="AA259">
        <v>0</v>
      </c>
      <c r="AB259">
        <v>0</v>
      </c>
      <c r="AC259">
        <v>301.45999999999998</v>
      </c>
      <c r="AD259">
        <v>263.92</v>
      </c>
      <c r="AE259">
        <v>565.37</v>
      </c>
      <c r="AF259">
        <v>30</v>
      </c>
      <c r="AG259">
        <v>21</v>
      </c>
      <c r="AH259">
        <v>9</v>
      </c>
      <c r="AI259">
        <v>2</v>
      </c>
      <c r="AJ259">
        <v>19</v>
      </c>
      <c r="AK259">
        <v>7.5</v>
      </c>
      <c r="AL259">
        <v>0</v>
      </c>
      <c r="AM259">
        <v>0</v>
      </c>
      <c r="AN259">
        <v>0</v>
      </c>
      <c r="AO259">
        <v>3.94</v>
      </c>
      <c r="AP259">
        <v>3.45</v>
      </c>
      <c r="AQ259">
        <v>7.39</v>
      </c>
    </row>
    <row r="260" spans="1:43" hidden="1" x14ac:dyDescent="0.25">
      <c r="A260" s="1">
        <v>46327</v>
      </c>
      <c r="B260" t="s">
        <v>32</v>
      </c>
      <c r="C260" t="s">
        <v>39</v>
      </c>
      <c r="D260" t="s">
        <v>39</v>
      </c>
      <c r="E260" t="s">
        <v>32</v>
      </c>
      <c r="F260" t="s">
        <v>34</v>
      </c>
      <c r="G260">
        <v>41</v>
      </c>
      <c r="H260">
        <v>0</v>
      </c>
      <c r="I260">
        <v>59</v>
      </c>
      <c r="J260">
        <v>0</v>
      </c>
      <c r="K260">
        <v>59</v>
      </c>
      <c r="L260">
        <v>0</v>
      </c>
      <c r="M260">
        <v>0</v>
      </c>
      <c r="N260">
        <v>0</v>
      </c>
      <c r="O260">
        <v>0</v>
      </c>
      <c r="P260">
        <v>1</v>
      </c>
      <c r="Q260">
        <v>0</v>
      </c>
      <c r="R260">
        <v>0.7</v>
      </c>
      <c r="S260">
        <v>0.21</v>
      </c>
      <c r="T260">
        <v>0.03</v>
      </c>
      <c r="U260">
        <v>462.54</v>
      </c>
      <c r="V260">
        <v>0</v>
      </c>
      <c r="W260">
        <v>0</v>
      </c>
      <c r="X260">
        <v>0</v>
      </c>
      <c r="Y260">
        <v>462.54</v>
      </c>
      <c r="Z260">
        <v>0</v>
      </c>
      <c r="AA260">
        <v>0</v>
      </c>
      <c r="AB260">
        <v>0</v>
      </c>
      <c r="AC260">
        <v>7.58</v>
      </c>
      <c r="AD260">
        <v>0</v>
      </c>
      <c r="AE260">
        <v>7.58</v>
      </c>
      <c r="AF260">
        <v>30</v>
      </c>
      <c r="AG260">
        <v>21</v>
      </c>
      <c r="AH260">
        <v>9</v>
      </c>
      <c r="AI260">
        <v>2</v>
      </c>
      <c r="AJ260">
        <v>19</v>
      </c>
      <c r="AK260">
        <v>7.5</v>
      </c>
      <c r="AL260">
        <v>0</v>
      </c>
      <c r="AM260">
        <v>0</v>
      </c>
      <c r="AN260">
        <v>0</v>
      </c>
      <c r="AO260">
        <v>0.1</v>
      </c>
      <c r="AP260">
        <v>0</v>
      </c>
      <c r="AQ260">
        <v>0.1</v>
      </c>
    </row>
    <row r="261" spans="1:43" hidden="1" x14ac:dyDescent="0.25">
      <c r="A261" s="1">
        <v>46327</v>
      </c>
      <c r="B261" t="s">
        <v>32</v>
      </c>
      <c r="C261" t="s">
        <v>40</v>
      </c>
      <c r="D261" t="s">
        <v>40</v>
      </c>
      <c r="E261" t="s">
        <v>32</v>
      </c>
      <c r="F261" t="s">
        <v>34</v>
      </c>
      <c r="G261">
        <v>38</v>
      </c>
      <c r="H261">
        <v>0</v>
      </c>
      <c r="I261">
        <v>41</v>
      </c>
      <c r="J261">
        <v>0</v>
      </c>
      <c r="K261">
        <v>41</v>
      </c>
      <c r="L261">
        <v>0</v>
      </c>
      <c r="M261">
        <v>0</v>
      </c>
      <c r="N261">
        <v>0</v>
      </c>
      <c r="O261">
        <v>0</v>
      </c>
      <c r="P261">
        <v>0.1043</v>
      </c>
      <c r="Q261">
        <v>0.89570000000000005</v>
      </c>
      <c r="R261">
        <v>0.7</v>
      </c>
      <c r="S261">
        <v>0.21</v>
      </c>
      <c r="T261">
        <v>0.03</v>
      </c>
      <c r="U261">
        <v>653.49</v>
      </c>
      <c r="V261">
        <v>0.7</v>
      </c>
      <c r="W261">
        <v>0.21</v>
      </c>
      <c r="X261">
        <v>0.03</v>
      </c>
      <c r="Y261">
        <v>653.49</v>
      </c>
      <c r="Z261">
        <v>0</v>
      </c>
      <c r="AA261">
        <v>0</v>
      </c>
      <c r="AB261">
        <v>0</v>
      </c>
      <c r="AC261">
        <v>0.78</v>
      </c>
      <c r="AD261">
        <v>6.67</v>
      </c>
      <c r="AE261">
        <v>7.44</v>
      </c>
      <c r="AF261">
        <v>30</v>
      </c>
      <c r="AG261">
        <v>21</v>
      </c>
      <c r="AH261">
        <v>9</v>
      </c>
      <c r="AI261">
        <v>2</v>
      </c>
      <c r="AJ261">
        <v>19</v>
      </c>
      <c r="AK261">
        <v>7.5</v>
      </c>
      <c r="AL261">
        <v>0</v>
      </c>
      <c r="AM261">
        <v>0</v>
      </c>
      <c r="AN261">
        <v>0</v>
      </c>
      <c r="AO261">
        <v>0.01</v>
      </c>
      <c r="AP261">
        <v>0.09</v>
      </c>
      <c r="AQ261">
        <v>9.9999999999999895E-2</v>
      </c>
    </row>
    <row r="262" spans="1:43" hidden="1" x14ac:dyDescent="0.25">
      <c r="A262" s="1">
        <v>46327</v>
      </c>
      <c r="B262" t="s">
        <v>32</v>
      </c>
      <c r="C262" t="s">
        <v>41</v>
      </c>
      <c r="D262" t="s">
        <v>41</v>
      </c>
      <c r="E262" t="s">
        <v>32</v>
      </c>
      <c r="F262" t="s">
        <v>34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 t="s">
        <v>125</v>
      </c>
      <c r="Z262">
        <v>0</v>
      </c>
      <c r="AA262" t="s">
        <v>125</v>
      </c>
      <c r="AB262" t="s">
        <v>125</v>
      </c>
      <c r="AC262">
        <v>0</v>
      </c>
      <c r="AD262" t="s">
        <v>125</v>
      </c>
      <c r="AE262" t="s">
        <v>125</v>
      </c>
      <c r="AF262">
        <v>30</v>
      </c>
      <c r="AG262">
        <v>21</v>
      </c>
      <c r="AH262">
        <v>9</v>
      </c>
      <c r="AI262">
        <v>2</v>
      </c>
      <c r="AJ262">
        <v>19</v>
      </c>
      <c r="AK262">
        <v>7.5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</row>
    <row r="263" spans="1:43" hidden="1" x14ac:dyDescent="0.25">
      <c r="A263" s="1">
        <v>46327</v>
      </c>
      <c r="B263" t="s">
        <v>32</v>
      </c>
      <c r="C263" t="s">
        <v>42</v>
      </c>
      <c r="D263" t="s">
        <v>42</v>
      </c>
      <c r="E263" t="s">
        <v>32</v>
      </c>
      <c r="F263" t="s">
        <v>34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1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 t="s">
        <v>125</v>
      </c>
      <c r="Z263">
        <v>0</v>
      </c>
      <c r="AA263" t="s">
        <v>125</v>
      </c>
      <c r="AB263" t="s">
        <v>125</v>
      </c>
      <c r="AC263">
        <v>0</v>
      </c>
      <c r="AD263" t="s">
        <v>125</v>
      </c>
      <c r="AE263" t="s">
        <v>125</v>
      </c>
      <c r="AF263">
        <v>30</v>
      </c>
      <c r="AG263">
        <v>21</v>
      </c>
      <c r="AH263">
        <v>9</v>
      </c>
      <c r="AI263">
        <v>2</v>
      </c>
      <c r="AJ263">
        <v>19</v>
      </c>
      <c r="AK263">
        <v>7.5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</row>
    <row r="264" spans="1:43" hidden="1" x14ac:dyDescent="0.25">
      <c r="A264" s="1">
        <v>46327</v>
      </c>
      <c r="B264" t="s">
        <v>32</v>
      </c>
      <c r="C264" t="s">
        <v>43</v>
      </c>
      <c r="D264" t="s">
        <v>43</v>
      </c>
      <c r="E264" t="s">
        <v>32</v>
      </c>
      <c r="F264" t="s">
        <v>34</v>
      </c>
      <c r="G264">
        <v>4</v>
      </c>
      <c r="H264">
        <v>0</v>
      </c>
      <c r="I264">
        <v>2</v>
      </c>
      <c r="J264">
        <v>0</v>
      </c>
      <c r="K264">
        <v>2</v>
      </c>
      <c r="L264">
        <v>0</v>
      </c>
      <c r="M264">
        <v>0</v>
      </c>
      <c r="N264">
        <v>0</v>
      </c>
      <c r="O264">
        <v>0</v>
      </c>
      <c r="P264">
        <v>1</v>
      </c>
      <c r="Q264">
        <v>0</v>
      </c>
      <c r="R264">
        <v>0.7</v>
      </c>
      <c r="S264">
        <v>0.21</v>
      </c>
      <c r="T264">
        <v>0.03</v>
      </c>
      <c r="U264">
        <v>344.84</v>
      </c>
      <c r="V264">
        <v>0</v>
      </c>
      <c r="W264">
        <v>0</v>
      </c>
      <c r="X264">
        <v>0</v>
      </c>
      <c r="Y264">
        <v>344.84</v>
      </c>
      <c r="Z264">
        <v>0</v>
      </c>
      <c r="AA264">
        <v>0</v>
      </c>
      <c r="AB264">
        <v>0</v>
      </c>
      <c r="AC264">
        <v>0.19</v>
      </c>
      <c r="AD264">
        <v>0</v>
      </c>
      <c r="AE264">
        <v>0.19</v>
      </c>
      <c r="AF264">
        <v>30</v>
      </c>
      <c r="AG264">
        <v>21</v>
      </c>
      <c r="AH264">
        <v>9</v>
      </c>
      <c r="AI264">
        <v>2</v>
      </c>
      <c r="AJ264">
        <v>19</v>
      </c>
      <c r="AK264">
        <v>7.5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</row>
    <row r="265" spans="1:43" hidden="1" x14ac:dyDescent="0.25">
      <c r="A265" s="1">
        <v>46327</v>
      </c>
      <c r="B265" t="s">
        <v>32</v>
      </c>
      <c r="C265" t="s">
        <v>44</v>
      </c>
      <c r="D265" t="s">
        <v>44</v>
      </c>
      <c r="E265" t="s">
        <v>32</v>
      </c>
      <c r="F265" t="s">
        <v>34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1</v>
      </c>
      <c r="Q265">
        <v>0</v>
      </c>
      <c r="R265">
        <v>0.7</v>
      </c>
      <c r="S265">
        <v>0.21</v>
      </c>
      <c r="T265">
        <v>0.03</v>
      </c>
      <c r="U265">
        <v>0</v>
      </c>
      <c r="V265">
        <v>0</v>
      </c>
      <c r="W265">
        <v>0</v>
      </c>
      <c r="X265">
        <v>0</v>
      </c>
      <c r="Y265" t="s">
        <v>125</v>
      </c>
      <c r="Z265">
        <v>0</v>
      </c>
      <c r="AA265" t="s">
        <v>125</v>
      </c>
      <c r="AB265" t="s">
        <v>125</v>
      </c>
      <c r="AC265">
        <v>0</v>
      </c>
      <c r="AD265" t="s">
        <v>125</v>
      </c>
      <c r="AE265" t="s">
        <v>125</v>
      </c>
      <c r="AF265">
        <v>30</v>
      </c>
      <c r="AG265">
        <v>21</v>
      </c>
      <c r="AH265">
        <v>9</v>
      </c>
      <c r="AI265">
        <v>2</v>
      </c>
      <c r="AJ265">
        <v>19</v>
      </c>
      <c r="AK265">
        <v>7.5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</row>
    <row r="266" spans="1:43" hidden="1" x14ac:dyDescent="0.25">
      <c r="A266" s="1">
        <v>46357</v>
      </c>
      <c r="B266" t="s">
        <v>32</v>
      </c>
      <c r="C266" t="s">
        <v>33</v>
      </c>
      <c r="D266" t="s">
        <v>33</v>
      </c>
      <c r="E266" t="s">
        <v>32</v>
      </c>
      <c r="F266" t="s">
        <v>34</v>
      </c>
      <c r="G266">
        <v>17</v>
      </c>
      <c r="H266">
        <v>0</v>
      </c>
      <c r="I266">
        <v>30</v>
      </c>
      <c r="J266">
        <v>0</v>
      </c>
      <c r="K266">
        <v>30</v>
      </c>
      <c r="L266">
        <v>0</v>
      </c>
      <c r="M266">
        <v>0</v>
      </c>
      <c r="N266">
        <v>0</v>
      </c>
      <c r="O266">
        <v>0</v>
      </c>
      <c r="P266">
        <v>1</v>
      </c>
      <c r="Q266">
        <v>0</v>
      </c>
      <c r="R266">
        <v>0.7</v>
      </c>
      <c r="S266">
        <v>0.21</v>
      </c>
      <c r="T266">
        <v>0.03</v>
      </c>
      <c r="U266">
        <v>286.55</v>
      </c>
      <c r="V266">
        <v>0</v>
      </c>
      <c r="W266">
        <v>0</v>
      </c>
      <c r="X266">
        <v>0</v>
      </c>
      <c r="Y266">
        <v>286.55</v>
      </c>
      <c r="Z266">
        <v>0</v>
      </c>
      <c r="AA266">
        <v>0</v>
      </c>
      <c r="AB266">
        <v>0</v>
      </c>
      <c r="AC266">
        <v>2.39</v>
      </c>
      <c r="AD266">
        <v>0</v>
      </c>
      <c r="AE266">
        <v>2.39</v>
      </c>
      <c r="AF266">
        <v>31</v>
      </c>
      <c r="AG266">
        <v>23</v>
      </c>
      <c r="AH266">
        <v>8</v>
      </c>
      <c r="AI266">
        <v>2</v>
      </c>
      <c r="AJ266">
        <v>21</v>
      </c>
      <c r="AK266">
        <v>7.5</v>
      </c>
      <c r="AL266">
        <v>0</v>
      </c>
      <c r="AM266">
        <v>0</v>
      </c>
      <c r="AN266">
        <v>0</v>
      </c>
      <c r="AO266">
        <v>0.03</v>
      </c>
      <c r="AP266">
        <v>0</v>
      </c>
      <c r="AQ266">
        <v>0.03</v>
      </c>
    </row>
    <row r="267" spans="1:43" hidden="1" x14ac:dyDescent="0.25">
      <c r="A267" s="1">
        <v>46357</v>
      </c>
      <c r="B267" t="s">
        <v>32</v>
      </c>
      <c r="C267" t="s">
        <v>32</v>
      </c>
      <c r="D267" t="s">
        <v>32</v>
      </c>
      <c r="E267" t="s">
        <v>32</v>
      </c>
      <c r="F267" t="s">
        <v>35</v>
      </c>
      <c r="G267">
        <v>126</v>
      </c>
      <c r="H267">
        <v>0</v>
      </c>
      <c r="I267">
        <v>172</v>
      </c>
      <c r="J267">
        <v>34</v>
      </c>
      <c r="K267">
        <v>206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0.7</v>
      </c>
      <c r="S267">
        <v>0.21</v>
      </c>
      <c r="T267">
        <v>0.03</v>
      </c>
      <c r="U267">
        <v>1789.08</v>
      </c>
      <c r="V267">
        <v>0</v>
      </c>
      <c r="W267">
        <v>0</v>
      </c>
      <c r="X267">
        <v>0</v>
      </c>
      <c r="Y267">
        <v>1789.08</v>
      </c>
      <c r="Z267">
        <v>0</v>
      </c>
      <c r="AA267">
        <v>0</v>
      </c>
      <c r="AB267">
        <v>0</v>
      </c>
      <c r="AC267">
        <v>102.38</v>
      </c>
      <c r="AD267">
        <v>0</v>
      </c>
      <c r="AE267">
        <v>102.38</v>
      </c>
      <c r="AF267">
        <v>31</v>
      </c>
      <c r="AG267">
        <v>23</v>
      </c>
      <c r="AH267">
        <v>8</v>
      </c>
      <c r="AI267">
        <v>2</v>
      </c>
      <c r="AJ267">
        <v>21</v>
      </c>
      <c r="AK267">
        <v>7.5</v>
      </c>
      <c r="AL267">
        <v>0</v>
      </c>
      <c r="AM267">
        <v>0</v>
      </c>
      <c r="AN267">
        <v>0</v>
      </c>
      <c r="AO267">
        <v>1.21</v>
      </c>
      <c r="AP267">
        <v>0</v>
      </c>
      <c r="AQ267">
        <v>1.21</v>
      </c>
    </row>
    <row r="268" spans="1:43" hidden="1" x14ac:dyDescent="0.25">
      <c r="A268" s="1">
        <v>46357</v>
      </c>
      <c r="B268" t="s">
        <v>32</v>
      </c>
      <c r="C268" t="s">
        <v>32</v>
      </c>
      <c r="D268" t="s">
        <v>32</v>
      </c>
      <c r="E268" t="s">
        <v>32</v>
      </c>
      <c r="F268" t="s">
        <v>45</v>
      </c>
      <c r="G268">
        <v>0</v>
      </c>
      <c r="H268">
        <v>0</v>
      </c>
      <c r="I268">
        <v>0</v>
      </c>
      <c r="J268">
        <v>20</v>
      </c>
      <c r="K268">
        <v>20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0</v>
      </c>
      <c r="R268">
        <v>0.7</v>
      </c>
      <c r="S268">
        <v>0.21</v>
      </c>
      <c r="T268">
        <v>0.03</v>
      </c>
      <c r="U268">
        <v>1080</v>
      </c>
      <c r="V268">
        <v>0.7</v>
      </c>
      <c r="W268">
        <v>0.21</v>
      </c>
      <c r="X268">
        <v>0.03</v>
      </c>
      <c r="Y268">
        <v>1080</v>
      </c>
      <c r="Z268">
        <v>0</v>
      </c>
      <c r="AA268">
        <v>0</v>
      </c>
      <c r="AB268">
        <v>0</v>
      </c>
      <c r="AC268">
        <v>6</v>
      </c>
      <c r="AD268">
        <v>0</v>
      </c>
      <c r="AE268">
        <v>6</v>
      </c>
      <c r="AF268">
        <v>31</v>
      </c>
      <c r="AG268">
        <v>23</v>
      </c>
      <c r="AH268">
        <v>8</v>
      </c>
      <c r="AI268">
        <v>2</v>
      </c>
      <c r="AJ268">
        <v>21</v>
      </c>
      <c r="AK268">
        <v>7.5</v>
      </c>
      <c r="AL268">
        <v>0</v>
      </c>
      <c r="AM268">
        <v>0</v>
      </c>
      <c r="AN268">
        <v>0</v>
      </c>
      <c r="AO268">
        <v>7.0000000000000007E-2</v>
      </c>
      <c r="AP268">
        <v>0</v>
      </c>
      <c r="AQ268">
        <v>7.0000000000000007E-2</v>
      </c>
    </row>
    <row r="269" spans="1:43" hidden="1" x14ac:dyDescent="0.25">
      <c r="A269" s="1">
        <v>46357</v>
      </c>
      <c r="B269" t="s">
        <v>32</v>
      </c>
      <c r="C269" t="s">
        <v>36</v>
      </c>
      <c r="D269" t="s">
        <v>36</v>
      </c>
      <c r="E269" t="s">
        <v>32</v>
      </c>
      <c r="F269" t="s">
        <v>34</v>
      </c>
      <c r="G269">
        <v>11</v>
      </c>
      <c r="H269">
        <v>0</v>
      </c>
      <c r="I269">
        <v>8</v>
      </c>
      <c r="J269">
        <v>0</v>
      </c>
      <c r="K269">
        <v>8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0.7</v>
      </c>
      <c r="S269">
        <v>0.21</v>
      </c>
      <c r="T269">
        <v>0.03</v>
      </c>
      <c r="U269">
        <v>480.72</v>
      </c>
      <c r="V269">
        <v>0</v>
      </c>
      <c r="W269">
        <v>0</v>
      </c>
      <c r="X269">
        <v>0</v>
      </c>
      <c r="Y269">
        <v>480.72</v>
      </c>
      <c r="Z269">
        <v>0</v>
      </c>
      <c r="AA269">
        <v>0</v>
      </c>
      <c r="AB269">
        <v>0</v>
      </c>
      <c r="AC269">
        <v>1.07</v>
      </c>
      <c r="AD269">
        <v>0</v>
      </c>
      <c r="AE269">
        <v>1.07</v>
      </c>
      <c r="AF269">
        <v>31</v>
      </c>
      <c r="AG269">
        <v>23</v>
      </c>
      <c r="AH269">
        <v>8</v>
      </c>
      <c r="AI269">
        <v>2</v>
      </c>
      <c r="AJ269">
        <v>21</v>
      </c>
      <c r="AK269">
        <v>7.5</v>
      </c>
      <c r="AL269">
        <v>0</v>
      </c>
      <c r="AM269">
        <v>0</v>
      </c>
      <c r="AN269">
        <v>0</v>
      </c>
      <c r="AO269">
        <v>0.01</v>
      </c>
      <c r="AP269">
        <v>0</v>
      </c>
      <c r="AQ269">
        <v>0.01</v>
      </c>
    </row>
    <row r="270" spans="1:43" hidden="1" x14ac:dyDescent="0.25">
      <c r="A270" s="1">
        <v>46357</v>
      </c>
      <c r="B270" t="s">
        <v>32</v>
      </c>
      <c r="C270" t="s">
        <v>37</v>
      </c>
      <c r="D270" t="s">
        <v>37</v>
      </c>
      <c r="E270" t="s">
        <v>32</v>
      </c>
      <c r="F270" t="s">
        <v>34</v>
      </c>
      <c r="G270">
        <v>1</v>
      </c>
      <c r="H270">
        <v>0</v>
      </c>
      <c r="I270">
        <v>1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0.7</v>
      </c>
      <c r="S270">
        <v>0.21</v>
      </c>
      <c r="T270">
        <v>0.03</v>
      </c>
      <c r="U270">
        <v>299.33</v>
      </c>
      <c r="V270">
        <v>0</v>
      </c>
      <c r="W270">
        <v>0</v>
      </c>
      <c r="X270">
        <v>0</v>
      </c>
      <c r="Y270">
        <v>299.33</v>
      </c>
      <c r="Z270">
        <v>0</v>
      </c>
      <c r="AA270">
        <v>0</v>
      </c>
      <c r="AB270">
        <v>0</v>
      </c>
      <c r="AC270">
        <v>0.08</v>
      </c>
      <c r="AD270">
        <v>0</v>
      </c>
      <c r="AE270">
        <v>0.08</v>
      </c>
      <c r="AF270">
        <v>31</v>
      </c>
      <c r="AG270">
        <v>23</v>
      </c>
      <c r="AH270">
        <v>8</v>
      </c>
      <c r="AI270">
        <v>2</v>
      </c>
      <c r="AJ270">
        <v>21</v>
      </c>
      <c r="AK270">
        <v>7.5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</row>
    <row r="271" spans="1:43" hidden="1" x14ac:dyDescent="0.25">
      <c r="A271" s="1">
        <v>46357</v>
      </c>
      <c r="B271" t="s">
        <v>32</v>
      </c>
      <c r="C271" t="s">
        <v>38</v>
      </c>
      <c r="D271" t="s">
        <v>38</v>
      </c>
      <c r="E271" t="s">
        <v>32</v>
      </c>
      <c r="F271" t="s">
        <v>34</v>
      </c>
      <c r="G271">
        <v>3145</v>
      </c>
      <c r="H271">
        <v>0</v>
      </c>
      <c r="I271">
        <v>3932</v>
      </c>
      <c r="J271">
        <v>-86</v>
      </c>
      <c r="K271">
        <v>3846</v>
      </c>
      <c r="L271">
        <v>0</v>
      </c>
      <c r="M271">
        <v>0</v>
      </c>
      <c r="N271">
        <v>0</v>
      </c>
      <c r="O271">
        <v>0</v>
      </c>
      <c r="P271">
        <v>0.53320000000000001</v>
      </c>
      <c r="Q271">
        <v>0.46679999999999999</v>
      </c>
      <c r="R271">
        <v>0.7</v>
      </c>
      <c r="S271">
        <v>0.21</v>
      </c>
      <c r="T271">
        <v>0.03</v>
      </c>
      <c r="U271">
        <v>602.35</v>
      </c>
      <c r="V271">
        <v>0.7</v>
      </c>
      <c r="W271">
        <v>0.21</v>
      </c>
      <c r="X271">
        <v>0.03</v>
      </c>
      <c r="Y271">
        <v>602.35</v>
      </c>
      <c r="Z271">
        <v>0</v>
      </c>
      <c r="AA271">
        <v>0</v>
      </c>
      <c r="AB271">
        <v>0</v>
      </c>
      <c r="AC271">
        <v>343.12</v>
      </c>
      <c r="AD271">
        <v>300.39</v>
      </c>
      <c r="AE271">
        <v>643.51</v>
      </c>
      <c r="AF271">
        <v>31</v>
      </c>
      <c r="AG271">
        <v>23</v>
      </c>
      <c r="AH271">
        <v>8</v>
      </c>
      <c r="AI271">
        <v>2</v>
      </c>
      <c r="AJ271">
        <v>21</v>
      </c>
      <c r="AK271">
        <v>7.5</v>
      </c>
      <c r="AL271">
        <v>0</v>
      </c>
      <c r="AM271">
        <v>0</v>
      </c>
      <c r="AN271">
        <v>0</v>
      </c>
      <c r="AO271">
        <v>4.0599999999999996</v>
      </c>
      <c r="AP271">
        <v>3.55</v>
      </c>
      <c r="AQ271">
        <v>7.6099999999999897</v>
      </c>
    </row>
    <row r="272" spans="1:43" hidden="1" x14ac:dyDescent="0.25">
      <c r="A272" s="1">
        <v>46357</v>
      </c>
      <c r="B272" t="s">
        <v>32</v>
      </c>
      <c r="C272" t="s">
        <v>39</v>
      </c>
      <c r="D272" t="s">
        <v>39</v>
      </c>
      <c r="E272" t="s">
        <v>32</v>
      </c>
      <c r="F272" t="s">
        <v>34</v>
      </c>
      <c r="G272">
        <v>29</v>
      </c>
      <c r="H272">
        <v>0</v>
      </c>
      <c r="I272">
        <v>62</v>
      </c>
      <c r="J272">
        <v>0</v>
      </c>
      <c r="K272">
        <v>62</v>
      </c>
      <c r="L272">
        <v>0</v>
      </c>
      <c r="M272">
        <v>0</v>
      </c>
      <c r="N272">
        <v>0</v>
      </c>
      <c r="O272">
        <v>0</v>
      </c>
      <c r="P272">
        <v>1</v>
      </c>
      <c r="Q272">
        <v>0</v>
      </c>
      <c r="R272">
        <v>0.7</v>
      </c>
      <c r="S272">
        <v>0.21</v>
      </c>
      <c r="T272">
        <v>0.03</v>
      </c>
      <c r="U272">
        <v>462.54</v>
      </c>
      <c r="V272">
        <v>0</v>
      </c>
      <c r="W272">
        <v>0</v>
      </c>
      <c r="X272">
        <v>0</v>
      </c>
      <c r="Y272">
        <v>462.54</v>
      </c>
      <c r="Z272">
        <v>0</v>
      </c>
      <c r="AA272">
        <v>0</v>
      </c>
      <c r="AB272">
        <v>0</v>
      </c>
      <c r="AC272">
        <v>7.97</v>
      </c>
      <c r="AD272">
        <v>0</v>
      </c>
      <c r="AE272">
        <v>7.97</v>
      </c>
      <c r="AF272">
        <v>31</v>
      </c>
      <c r="AG272">
        <v>23</v>
      </c>
      <c r="AH272">
        <v>8</v>
      </c>
      <c r="AI272">
        <v>2</v>
      </c>
      <c r="AJ272">
        <v>21</v>
      </c>
      <c r="AK272">
        <v>7.5</v>
      </c>
      <c r="AL272">
        <v>0</v>
      </c>
      <c r="AM272">
        <v>0</v>
      </c>
      <c r="AN272">
        <v>0</v>
      </c>
      <c r="AO272">
        <v>0.09</v>
      </c>
      <c r="AP272">
        <v>0</v>
      </c>
      <c r="AQ272">
        <v>0.09</v>
      </c>
    </row>
    <row r="273" spans="1:43" hidden="1" x14ac:dyDescent="0.25">
      <c r="A273" s="1">
        <v>46357</v>
      </c>
      <c r="B273" t="s">
        <v>32</v>
      </c>
      <c r="C273" t="s">
        <v>40</v>
      </c>
      <c r="D273" t="s">
        <v>40</v>
      </c>
      <c r="E273" t="s">
        <v>32</v>
      </c>
      <c r="F273" t="s">
        <v>34</v>
      </c>
      <c r="G273">
        <v>29</v>
      </c>
      <c r="H273">
        <v>0</v>
      </c>
      <c r="I273">
        <v>45</v>
      </c>
      <c r="J273">
        <v>0</v>
      </c>
      <c r="K273">
        <v>45</v>
      </c>
      <c r="L273">
        <v>0</v>
      </c>
      <c r="M273">
        <v>0</v>
      </c>
      <c r="N273">
        <v>0</v>
      </c>
      <c r="O273">
        <v>0</v>
      </c>
      <c r="P273">
        <v>0.1043</v>
      </c>
      <c r="Q273">
        <v>0.89570000000000005</v>
      </c>
      <c r="R273">
        <v>0.7</v>
      </c>
      <c r="S273">
        <v>0.21</v>
      </c>
      <c r="T273">
        <v>0.03</v>
      </c>
      <c r="U273">
        <v>653.49</v>
      </c>
      <c r="V273">
        <v>0.7</v>
      </c>
      <c r="W273">
        <v>0.21</v>
      </c>
      <c r="X273">
        <v>0.03</v>
      </c>
      <c r="Y273">
        <v>653.49</v>
      </c>
      <c r="Z273">
        <v>0</v>
      </c>
      <c r="AA273">
        <v>0</v>
      </c>
      <c r="AB273">
        <v>0</v>
      </c>
      <c r="AC273">
        <v>0.85</v>
      </c>
      <c r="AD273">
        <v>7.32</v>
      </c>
      <c r="AE273">
        <v>8.17</v>
      </c>
      <c r="AF273">
        <v>31</v>
      </c>
      <c r="AG273">
        <v>23</v>
      </c>
      <c r="AH273">
        <v>8</v>
      </c>
      <c r="AI273">
        <v>2</v>
      </c>
      <c r="AJ273">
        <v>21</v>
      </c>
      <c r="AK273">
        <v>7.5</v>
      </c>
      <c r="AL273">
        <v>0</v>
      </c>
      <c r="AM273">
        <v>0</v>
      </c>
      <c r="AN273">
        <v>0</v>
      </c>
      <c r="AO273">
        <v>0.01</v>
      </c>
      <c r="AP273">
        <v>0.09</v>
      </c>
      <c r="AQ273">
        <v>9.9999999999999895E-2</v>
      </c>
    </row>
    <row r="274" spans="1:43" hidden="1" x14ac:dyDescent="0.25">
      <c r="A274" s="1">
        <v>46357</v>
      </c>
      <c r="B274" t="s">
        <v>32</v>
      </c>
      <c r="C274" t="s">
        <v>41</v>
      </c>
      <c r="D274" t="s">
        <v>41</v>
      </c>
      <c r="E274" t="s">
        <v>32</v>
      </c>
      <c r="F274" t="s">
        <v>34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1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 t="s">
        <v>125</v>
      </c>
      <c r="Z274">
        <v>0</v>
      </c>
      <c r="AA274" t="s">
        <v>125</v>
      </c>
      <c r="AB274" t="s">
        <v>125</v>
      </c>
      <c r="AC274">
        <v>0</v>
      </c>
      <c r="AD274" t="s">
        <v>125</v>
      </c>
      <c r="AE274" t="s">
        <v>125</v>
      </c>
      <c r="AF274">
        <v>31</v>
      </c>
      <c r="AG274">
        <v>23</v>
      </c>
      <c r="AH274">
        <v>8</v>
      </c>
      <c r="AI274">
        <v>2</v>
      </c>
      <c r="AJ274">
        <v>21</v>
      </c>
      <c r="AK274">
        <v>7.5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</row>
    <row r="275" spans="1:43" hidden="1" x14ac:dyDescent="0.25">
      <c r="A275" s="1">
        <v>46357</v>
      </c>
      <c r="B275" t="s">
        <v>32</v>
      </c>
      <c r="C275" t="s">
        <v>42</v>
      </c>
      <c r="D275" t="s">
        <v>42</v>
      </c>
      <c r="E275" t="s">
        <v>32</v>
      </c>
      <c r="F275" t="s">
        <v>34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125</v>
      </c>
      <c r="Z275">
        <v>0</v>
      </c>
      <c r="AA275" t="s">
        <v>125</v>
      </c>
      <c r="AB275" t="s">
        <v>125</v>
      </c>
      <c r="AC275">
        <v>0</v>
      </c>
      <c r="AD275" t="s">
        <v>125</v>
      </c>
      <c r="AE275" t="s">
        <v>125</v>
      </c>
      <c r="AF275">
        <v>31</v>
      </c>
      <c r="AG275">
        <v>23</v>
      </c>
      <c r="AH275">
        <v>8</v>
      </c>
      <c r="AI275">
        <v>2</v>
      </c>
      <c r="AJ275">
        <v>21</v>
      </c>
      <c r="AK275">
        <v>7.5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</row>
    <row r="276" spans="1:43" hidden="1" x14ac:dyDescent="0.25">
      <c r="A276" s="1">
        <v>46357</v>
      </c>
      <c r="B276" t="s">
        <v>32</v>
      </c>
      <c r="C276" t="s">
        <v>43</v>
      </c>
      <c r="D276" t="s">
        <v>43</v>
      </c>
      <c r="E276" t="s">
        <v>32</v>
      </c>
      <c r="F276" t="s">
        <v>34</v>
      </c>
      <c r="G276">
        <v>0</v>
      </c>
      <c r="H276">
        <v>0</v>
      </c>
      <c r="I276">
        <v>2</v>
      </c>
      <c r="J276">
        <v>0</v>
      </c>
      <c r="K276">
        <v>2</v>
      </c>
      <c r="L276">
        <v>0</v>
      </c>
      <c r="M276">
        <v>0</v>
      </c>
      <c r="N276">
        <v>0</v>
      </c>
      <c r="O276">
        <v>0</v>
      </c>
      <c r="P276">
        <v>1</v>
      </c>
      <c r="Q276">
        <v>0</v>
      </c>
      <c r="R276">
        <v>0.7</v>
      </c>
      <c r="S276">
        <v>0.21</v>
      </c>
      <c r="T276">
        <v>0.03</v>
      </c>
      <c r="U276">
        <v>344.84</v>
      </c>
      <c r="V276">
        <v>0</v>
      </c>
      <c r="W276">
        <v>0</v>
      </c>
      <c r="X276">
        <v>0</v>
      </c>
      <c r="Y276">
        <v>344.84</v>
      </c>
      <c r="Z276">
        <v>0</v>
      </c>
      <c r="AA276">
        <v>0</v>
      </c>
      <c r="AB276">
        <v>0</v>
      </c>
      <c r="AC276">
        <v>0.19</v>
      </c>
      <c r="AD276">
        <v>0</v>
      </c>
      <c r="AE276">
        <v>0.19</v>
      </c>
      <c r="AF276">
        <v>31</v>
      </c>
      <c r="AG276">
        <v>23</v>
      </c>
      <c r="AH276">
        <v>8</v>
      </c>
      <c r="AI276">
        <v>2</v>
      </c>
      <c r="AJ276">
        <v>21</v>
      </c>
      <c r="AK276">
        <v>7.5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</row>
    <row r="277" spans="1:43" hidden="1" x14ac:dyDescent="0.25">
      <c r="A277" s="1">
        <v>46357</v>
      </c>
      <c r="B277" t="s">
        <v>32</v>
      </c>
      <c r="C277" t="s">
        <v>44</v>
      </c>
      <c r="D277" t="s">
        <v>44</v>
      </c>
      <c r="E277" t="s">
        <v>32</v>
      </c>
      <c r="F277" t="s">
        <v>34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1</v>
      </c>
      <c r="Q277">
        <v>0</v>
      </c>
      <c r="R277">
        <v>0.7</v>
      </c>
      <c r="S277">
        <v>0.21</v>
      </c>
      <c r="T277">
        <v>0.03</v>
      </c>
      <c r="U277">
        <v>0</v>
      </c>
      <c r="V277">
        <v>0</v>
      </c>
      <c r="W277">
        <v>0</v>
      </c>
      <c r="X277">
        <v>0</v>
      </c>
      <c r="Y277" t="s">
        <v>125</v>
      </c>
      <c r="Z277">
        <v>0</v>
      </c>
      <c r="AA277" t="s">
        <v>125</v>
      </c>
      <c r="AB277" t="s">
        <v>125</v>
      </c>
      <c r="AC277">
        <v>0</v>
      </c>
      <c r="AD277" t="s">
        <v>125</v>
      </c>
      <c r="AE277" t="s">
        <v>125</v>
      </c>
      <c r="AF277">
        <v>31</v>
      </c>
      <c r="AG277">
        <v>23</v>
      </c>
      <c r="AH277">
        <v>8</v>
      </c>
      <c r="AI277">
        <v>2</v>
      </c>
      <c r="AJ277">
        <v>21</v>
      </c>
      <c r="AK277">
        <v>7.5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</row>
    <row r="278" spans="1:43" hidden="1" x14ac:dyDescent="0.25">
      <c r="A278" s="1">
        <v>46388</v>
      </c>
      <c r="B278" t="s">
        <v>32</v>
      </c>
      <c r="C278" t="s">
        <v>33</v>
      </c>
      <c r="D278" t="s">
        <v>33</v>
      </c>
      <c r="E278" t="s">
        <v>32</v>
      </c>
      <c r="F278" t="s">
        <v>34</v>
      </c>
      <c r="G278">
        <v>26</v>
      </c>
      <c r="H278">
        <v>0</v>
      </c>
      <c r="I278">
        <v>30</v>
      </c>
      <c r="J278">
        <v>0</v>
      </c>
      <c r="K278">
        <v>30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0.7</v>
      </c>
      <c r="S278">
        <v>0.21</v>
      </c>
      <c r="T278">
        <v>0.03</v>
      </c>
      <c r="U278">
        <v>286.55</v>
      </c>
      <c r="V278">
        <v>0</v>
      </c>
      <c r="W278">
        <v>0</v>
      </c>
      <c r="X278">
        <v>0</v>
      </c>
      <c r="Y278">
        <v>286.55</v>
      </c>
      <c r="Z278">
        <v>0</v>
      </c>
      <c r="AA278">
        <v>0</v>
      </c>
      <c r="AB278">
        <v>0</v>
      </c>
      <c r="AC278">
        <v>2.39</v>
      </c>
      <c r="AD278">
        <v>0</v>
      </c>
      <c r="AE278">
        <v>2.39</v>
      </c>
      <c r="AF278">
        <v>31</v>
      </c>
      <c r="AG278">
        <v>21</v>
      </c>
      <c r="AH278">
        <v>10</v>
      </c>
      <c r="AI278">
        <v>0</v>
      </c>
      <c r="AJ278">
        <v>21</v>
      </c>
      <c r="AK278">
        <v>7.5</v>
      </c>
      <c r="AL278">
        <v>0</v>
      </c>
      <c r="AM278">
        <v>0</v>
      </c>
      <c r="AN278">
        <v>0</v>
      </c>
      <c r="AO278">
        <v>0.03</v>
      </c>
      <c r="AP278">
        <v>0</v>
      </c>
      <c r="AQ278">
        <v>0.03</v>
      </c>
    </row>
    <row r="279" spans="1:43" hidden="1" x14ac:dyDescent="0.25">
      <c r="A279" s="1">
        <v>46388</v>
      </c>
      <c r="B279" t="s">
        <v>32</v>
      </c>
      <c r="C279" t="s">
        <v>32</v>
      </c>
      <c r="D279" t="s">
        <v>32</v>
      </c>
      <c r="E279" t="s">
        <v>32</v>
      </c>
      <c r="F279" t="s">
        <v>35</v>
      </c>
      <c r="G279">
        <v>164</v>
      </c>
      <c r="H279">
        <v>0</v>
      </c>
      <c r="I279">
        <v>172</v>
      </c>
      <c r="J279">
        <v>0</v>
      </c>
      <c r="K279">
        <v>172</v>
      </c>
      <c r="L279">
        <v>0</v>
      </c>
      <c r="M279">
        <v>0</v>
      </c>
      <c r="N279">
        <v>0</v>
      </c>
      <c r="O279">
        <v>0</v>
      </c>
      <c r="P279">
        <v>1</v>
      </c>
      <c r="Q279">
        <v>0</v>
      </c>
      <c r="R279">
        <v>0.7</v>
      </c>
      <c r="S279">
        <v>0.21</v>
      </c>
      <c r="T279">
        <v>0.03</v>
      </c>
      <c r="U279">
        <v>1789.08</v>
      </c>
      <c r="V279">
        <v>0</v>
      </c>
      <c r="W279">
        <v>0</v>
      </c>
      <c r="X279">
        <v>0</v>
      </c>
      <c r="Y279">
        <v>1789.08</v>
      </c>
      <c r="Z279">
        <v>0</v>
      </c>
      <c r="AA279">
        <v>0</v>
      </c>
      <c r="AB279">
        <v>0</v>
      </c>
      <c r="AC279">
        <v>85.48</v>
      </c>
      <c r="AD279">
        <v>0</v>
      </c>
      <c r="AE279">
        <v>85.48</v>
      </c>
      <c r="AF279">
        <v>31</v>
      </c>
      <c r="AG279">
        <v>21</v>
      </c>
      <c r="AH279">
        <v>10</v>
      </c>
      <c r="AI279">
        <v>0</v>
      </c>
      <c r="AJ279">
        <v>21</v>
      </c>
      <c r="AK279">
        <v>7.5</v>
      </c>
      <c r="AL279">
        <v>0</v>
      </c>
      <c r="AM279">
        <v>0</v>
      </c>
      <c r="AN279">
        <v>0</v>
      </c>
      <c r="AO279">
        <v>1.01</v>
      </c>
      <c r="AP279">
        <v>0</v>
      </c>
      <c r="AQ279">
        <v>1.01</v>
      </c>
    </row>
    <row r="280" spans="1:43" hidden="1" x14ac:dyDescent="0.25">
      <c r="A280" s="1">
        <v>46388</v>
      </c>
      <c r="B280" t="s">
        <v>32</v>
      </c>
      <c r="C280" t="s">
        <v>36</v>
      </c>
      <c r="D280" t="s">
        <v>36</v>
      </c>
      <c r="E280" t="s">
        <v>32</v>
      </c>
      <c r="F280" t="s">
        <v>34</v>
      </c>
      <c r="G280">
        <v>4</v>
      </c>
      <c r="H280">
        <v>0</v>
      </c>
      <c r="I280">
        <v>5</v>
      </c>
      <c r="J280">
        <v>0</v>
      </c>
      <c r="K280">
        <v>5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0.7</v>
      </c>
      <c r="S280">
        <v>0.21</v>
      </c>
      <c r="T280">
        <v>0.03</v>
      </c>
      <c r="U280">
        <v>480.72</v>
      </c>
      <c r="V280">
        <v>0</v>
      </c>
      <c r="W280">
        <v>0</v>
      </c>
      <c r="X280">
        <v>0</v>
      </c>
      <c r="Y280">
        <v>480.72</v>
      </c>
      <c r="Z280">
        <v>0</v>
      </c>
      <c r="AA280">
        <v>0</v>
      </c>
      <c r="AB280">
        <v>0</v>
      </c>
      <c r="AC280">
        <v>0.67</v>
      </c>
      <c r="AD280">
        <v>0</v>
      </c>
      <c r="AE280">
        <v>0.67</v>
      </c>
      <c r="AF280">
        <v>31</v>
      </c>
      <c r="AG280">
        <v>21</v>
      </c>
      <c r="AH280">
        <v>10</v>
      </c>
      <c r="AI280">
        <v>0</v>
      </c>
      <c r="AJ280">
        <v>21</v>
      </c>
      <c r="AK280">
        <v>7.5</v>
      </c>
      <c r="AL280">
        <v>0</v>
      </c>
      <c r="AM280">
        <v>0</v>
      </c>
      <c r="AN280">
        <v>0</v>
      </c>
      <c r="AO280">
        <v>0.01</v>
      </c>
      <c r="AP280">
        <v>0</v>
      </c>
      <c r="AQ280">
        <v>0.01</v>
      </c>
    </row>
    <row r="281" spans="1:43" hidden="1" x14ac:dyDescent="0.25">
      <c r="A281" s="1">
        <v>46388</v>
      </c>
      <c r="B281" t="s">
        <v>32</v>
      </c>
      <c r="C281" t="s">
        <v>37</v>
      </c>
      <c r="D281" t="s">
        <v>37</v>
      </c>
      <c r="E281" t="s">
        <v>32</v>
      </c>
      <c r="F281" t="s">
        <v>34</v>
      </c>
      <c r="G281">
        <v>1</v>
      </c>
      <c r="H281">
        <v>0</v>
      </c>
      <c r="I281">
        <v>1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0</v>
      </c>
      <c r="R281">
        <v>0.7</v>
      </c>
      <c r="S281">
        <v>0.21</v>
      </c>
      <c r="T281">
        <v>0.03</v>
      </c>
      <c r="U281">
        <v>299.33</v>
      </c>
      <c r="V281">
        <v>0</v>
      </c>
      <c r="W281">
        <v>0</v>
      </c>
      <c r="X281">
        <v>0</v>
      </c>
      <c r="Y281">
        <v>299.33</v>
      </c>
      <c r="Z281">
        <v>0</v>
      </c>
      <c r="AA281">
        <v>0</v>
      </c>
      <c r="AB281">
        <v>0</v>
      </c>
      <c r="AC281">
        <v>0.08</v>
      </c>
      <c r="AD281">
        <v>0</v>
      </c>
      <c r="AE281">
        <v>0.08</v>
      </c>
      <c r="AF281">
        <v>31</v>
      </c>
      <c r="AG281">
        <v>21</v>
      </c>
      <c r="AH281">
        <v>10</v>
      </c>
      <c r="AI281">
        <v>0</v>
      </c>
      <c r="AJ281">
        <v>21</v>
      </c>
      <c r="AK281">
        <v>7.5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</row>
    <row r="282" spans="1:43" hidden="1" x14ac:dyDescent="0.25">
      <c r="A282" s="1">
        <v>46388</v>
      </c>
      <c r="B282" t="s">
        <v>32</v>
      </c>
      <c r="C282" t="s">
        <v>38</v>
      </c>
      <c r="D282" t="s">
        <v>38</v>
      </c>
      <c r="E282" t="s">
        <v>32</v>
      </c>
      <c r="F282" t="s">
        <v>34</v>
      </c>
      <c r="G282">
        <v>3540</v>
      </c>
      <c r="H282">
        <v>0</v>
      </c>
      <c r="I282">
        <v>3942</v>
      </c>
      <c r="J282">
        <v>0</v>
      </c>
      <c r="K282">
        <v>3942</v>
      </c>
      <c r="L282">
        <v>0</v>
      </c>
      <c r="M282">
        <v>0</v>
      </c>
      <c r="N282">
        <v>0</v>
      </c>
      <c r="O282">
        <v>0</v>
      </c>
      <c r="P282">
        <v>0.53320000000000001</v>
      </c>
      <c r="Q282">
        <v>0.46679999999999999</v>
      </c>
      <c r="R282">
        <v>0.7</v>
      </c>
      <c r="S282">
        <v>0.21</v>
      </c>
      <c r="T282">
        <v>0.03</v>
      </c>
      <c r="U282">
        <v>602.35</v>
      </c>
      <c r="V282">
        <v>0.7</v>
      </c>
      <c r="W282">
        <v>0.21</v>
      </c>
      <c r="X282">
        <v>0.03</v>
      </c>
      <c r="Y282">
        <v>602.35</v>
      </c>
      <c r="Z282">
        <v>0</v>
      </c>
      <c r="AA282">
        <v>0</v>
      </c>
      <c r="AB282">
        <v>0</v>
      </c>
      <c r="AC282">
        <v>351.68</v>
      </c>
      <c r="AD282">
        <v>307.89</v>
      </c>
      <c r="AE282">
        <v>659.57</v>
      </c>
      <c r="AF282">
        <v>31</v>
      </c>
      <c r="AG282">
        <v>21</v>
      </c>
      <c r="AH282">
        <v>10</v>
      </c>
      <c r="AI282">
        <v>0</v>
      </c>
      <c r="AJ282">
        <v>21</v>
      </c>
      <c r="AK282">
        <v>7.5</v>
      </c>
      <c r="AL282">
        <v>0</v>
      </c>
      <c r="AM282">
        <v>0</v>
      </c>
      <c r="AN282">
        <v>0</v>
      </c>
      <c r="AO282">
        <v>4.16</v>
      </c>
      <c r="AP282">
        <v>3.64</v>
      </c>
      <c r="AQ282">
        <v>7.8</v>
      </c>
    </row>
    <row r="283" spans="1:43" hidden="1" x14ac:dyDescent="0.25">
      <c r="A283" s="1">
        <v>46388</v>
      </c>
      <c r="B283" t="s">
        <v>32</v>
      </c>
      <c r="C283" t="s">
        <v>39</v>
      </c>
      <c r="D283" t="s">
        <v>39</v>
      </c>
      <c r="E283" t="s">
        <v>32</v>
      </c>
      <c r="F283" t="s">
        <v>34</v>
      </c>
      <c r="G283">
        <v>57</v>
      </c>
      <c r="H283">
        <v>0</v>
      </c>
      <c r="I283">
        <v>62</v>
      </c>
      <c r="J283">
        <v>0</v>
      </c>
      <c r="K283">
        <v>62</v>
      </c>
      <c r="L283">
        <v>0</v>
      </c>
      <c r="M283">
        <v>0</v>
      </c>
      <c r="N283">
        <v>0</v>
      </c>
      <c r="O283">
        <v>0</v>
      </c>
      <c r="P283">
        <v>1</v>
      </c>
      <c r="Q283">
        <v>0</v>
      </c>
      <c r="R283">
        <v>0.7</v>
      </c>
      <c r="S283">
        <v>0.21</v>
      </c>
      <c r="T283">
        <v>0.03</v>
      </c>
      <c r="U283">
        <v>462.54</v>
      </c>
      <c r="V283">
        <v>0</v>
      </c>
      <c r="W283">
        <v>0</v>
      </c>
      <c r="X283">
        <v>0</v>
      </c>
      <c r="Y283">
        <v>462.54</v>
      </c>
      <c r="Z283">
        <v>0</v>
      </c>
      <c r="AA283">
        <v>0</v>
      </c>
      <c r="AB283">
        <v>0</v>
      </c>
      <c r="AC283">
        <v>7.97</v>
      </c>
      <c r="AD283">
        <v>0</v>
      </c>
      <c r="AE283">
        <v>7.97</v>
      </c>
      <c r="AF283">
        <v>31</v>
      </c>
      <c r="AG283">
        <v>21</v>
      </c>
      <c r="AH283">
        <v>10</v>
      </c>
      <c r="AI283">
        <v>0</v>
      </c>
      <c r="AJ283">
        <v>21</v>
      </c>
      <c r="AK283">
        <v>7.5</v>
      </c>
      <c r="AL283">
        <v>0</v>
      </c>
      <c r="AM283">
        <v>0</v>
      </c>
      <c r="AN283">
        <v>0</v>
      </c>
      <c r="AO283">
        <v>0.09</v>
      </c>
      <c r="AP283">
        <v>0</v>
      </c>
      <c r="AQ283">
        <v>0.09</v>
      </c>
    </row>
    <row r="284" spans="1:43" hidden="1" x14ac:dyDescent="0.25">
      <c r="A284" s="1">
        <v>46388</v>
      </c>
      <c r="B284" t="s">
        <v>32</v>
      </c>
      <c r="C284" t="s">
        <v>40</v>
      </c>
      <c r="D284" t="s">
        <v>40</v>
      </c>
      <c r="E284" t="s">
        <v>32</v>
      </c>
      <c r="F284" t="s">
        <v>34</v>
      </c>
      <c r="G284">
        <v>38</v>
      </c>
      <c r="H284">
        <v>0</v>
      </c>
      <c r="I284">
        <v>45</v>
      </c>
      <c r="J284">
        <v>0</v>
      </c>
      <c r="K284">
        <v>45</v>
      </c>
      <c r="L284">
        <v>0</v>
      </c>
      <c r="M284">
        <v>0</v>
      </c>
      <c r="N284">
        <v>0</v>
      </c>
      <c r="O284">
        <v>0</v>
      </c>
      <c r="P284">
        <v>0.1043</v>
      </c>
      <c r="Q284">
        <v>0.89570000000000005</v>
      </c>
      <c r="R284">
        <v>0.7</v>
      </c>
      <c r="S284">
        <v>0.21</v>
      </c>
      <c r="T284">
        <v>0.03</v>
      </c>
      <c r="U284">
        <v>653.49</v>
      </c>
      <c r="V284">
        <v>0.7</v>
      </c>
      <c r="W284">
        <v>0.21</v>
      </c>
      <c r="X284">
        <v>0.03</v>
      </c>
      <c r="Y284">
        <v>653.49</v>
      </c>
      <c r="Z284">
        <v>0</v>
      </c>
      <c r="AA284">
        <v>0</v>
      </c>
      <c r="AB284">
        <v>0</v>
      </c>
      <c r="AC284">
        <v>0.85</v>
      </c>
      <c r="AD284">
        <v>7.32</v>
      </c>
      <c r="AE284">
        <v>8.17</v>
      </c>
      <c r="AF284">
        <v>31</v>
      </c>
      <c r="AG284">
        <v>21</v>
      </c>
      <c r="AH284">
        <v>10</v>
      </c>
      <c r="AI284">
        <v>0</v>
      </c>
      <c r="AJ284">
        <v>21</v>
      </c>
      <c r="AK284">
        <v>7.5</v>
      </c>
      <c r="AL284">
        <v>0</v>
      </c>
      <c r="AM284">
        <v>0</v>
      </c>
      <c r="AN284">
        <v>0</v>
      </c>
      <c r="AO284">
        <v>0.01</v>
      </c>
      <c r="AP284">
        <v>0.09</v>
      </c>
      <c r="AQ284">
        <v>9.9999999999999895E-2</v>
      </c>
    </row>
    <row r="285" spans="1:43" hidden="1" x14ac:dyDescent="0.25">
      <c r="A285" s="1">
        <v>46388</v>
      </c>
      <c r="B285" t="s">
        <v>32</v>
      </c>
      <c r="C285" t="s">
        <v>41</v>
      </c>
      <c r="D285" t="s">
        <v>41</v>
      </c>
      <c r="E285" t="s">
        <v>32</v>
      </c>
      <c r="F285" t="s">
        <v>34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1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125</v>
      </c>
      <c r="Z285">
        <v>0</v>
      </c>
      <c r="AA285" t="s">
        <v>125</v>
      </c>
      <c r="AB285" t="s">
        <v>125</v>
      </c>
      <c r="AC285">
        <v>0</v>
      </c>
      <c r="AD285" t="s">
        <v>125</v>
      </c>
      <c r="AE285" t="s">
        <v>125</v>
      </c>
      <c r="AF285">
        <v>31</v>
      </c>
      <c r="AG285">
        <v>21</v>
      </c>
      <c r="AH285">
        <v>10</v>
      </c>
      <c r="AI285">
        <v>0</v>
      </c>
      <c r="AJ285">
        <v>21</v>
      </c>
      <c r="AK285">
        <v>7.5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</row>
    <row r="286" spans="1:43" hidden="1" x14ac:dyDescent="0.25">
      <c r="A286" s="1">
        <v>46388</v>
      </c>
      <c r="B286" t="s">
        <v>32</v>
      </c>
      <c r="C286" t="s">
        <v>42</v>
      </c>
      <c r="D286" t="s">
        <v>42</v>
      </c>
      <c r="E286" t="s">
        <v>32</v>
      </c>
      <c r="F286" t="s">
        <v>34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1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125</v>
      </c>
      <c r="Z286">
        <v>0</v>
      </c>
      <c r="AA286" t="s">
        <v>125</v>
      </c>
      <c r="AB286" t="s">
        <v>125</v>
      </c>
      <c r="AC286">
        <v>0</v>
      </c>
      <c r="AD286" t="s">
        <v>125</v>
      </c>
      <c r="AE286" t="s">
        <v>125</v>
      </c>
      <c r="AF286">
        <v>31</v>
      </c>
      <c r="AG286">
        <v>21</v>
      </c>
      <c r="AH286">
        <v>10</v>
      </c>
      <c r="AI286">
        <v>0</v>
      </c>
      <c r="AJ286">
        <v>21</v>
      </c>
      <c r="AK286">
        <v>7.5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</row>
    <row r="287" spans="1:43" hidden="1" x14ac:dyDescent="0.25">
      <c r="A287" s="1">
        <v>46388</v>
      </c>
      <c r="B287" t="s">
        <v>32</v>
      </c>
      <c r="C287" t="s">
        <v>43</v>
      </c>
      <c r="D287" t="s">
        <v>43</v>
      </c>
      <c r="E287" t="s">
        <v>32</v>
      </c>
      <c r="F287" t="s">
        <v>34</v>
      </c>
      <c r="G287">
        <v>4</v>
      </c>
      <c r="H287">
        <v>0</v>
      </c>
      <c r="I287">
        <v>2</v>
      </c>
      <c r="J287">
        <v>0</v>
      </c>
      <c r="K287">
        <v>2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0.7</v>
      </c>
      <c r="S287">
        <v>0.21</v>
      </c>
      <c r="T287">
        <v>0.03</v>
      </c>
      <c r="U287">
        <v>344.84</v>
      </c>
      <c r="V287">
        <v>0</v>
      </c>
      <c r="W287">
        <v>0</v>
      </c>
      <c r="X287">
        <v>0</v>
      </c>
      <c r="Y287">
        <v>344.84</v>
      </c>
      <c r="Z287">
        <v>0</v>
      </c>
      <c r="AA287">
        <v>0</v>
      </c>
      <c r="AB287">
        <v>0</v>
      </c>
      <c r="AC287">
        <v>0.19</v>
      </c>
      <c r="AD287">
        <v>0</v>
      </c>
      <c r="AE287">
        <v>0.19</v>
      </c>
      <c r="AF287">
        <v>31</v>
      </c>
      <c r="AG287">
        <v>21</v>
      </c>
      <c r="AH287">
        <v>10</v>
      </c>
      <c r="AI287">
        <v>0</v>
      </c>
      <c r="AJ287">
        <v>21</v>
      </c>
      <c r="AK287">
        <v>7.5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</row>
    <row r="288" spans="1:43" hidden="1" x14ac:dyDescent="0.25">
      <c r="A288" s="1">
        <v>46388</v>
      </c>
      <c r="B288" t="s">
        <v>32</v>
      </c>
      <c r="C288" t="s">
        <v>44</v>
      </c>
      <c r="D288" t="s">
        <v>44</v>
      </c>
      <c r="E288" t="s">
        <v>32</v>
      </c>
      <c r="F288" t="s">
        <v>34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1</v>
      </c>
      <c r="Q288">
        <v>0</v>
      </c>
      <c r="R288">
        <v>0.7</v>
      </c>
      <c r="S288">
        <v>0.21</v>
      </c>
      <c r="T288">
        <v>0.03</v>
      </c>
      <c r="U288">
        <v>0</v>
      </c>
      <c r="V288">
        <v>0</v>
      </c>
      <c r="W288">
        <v>0</v>
      </c>
      <c r="X288">
        <v>0</v>
      </c>
      <c r="Y288" t="s">
        <v>125</v>
      </c>
      <c r="Z288">
        <v>0</v>
      </c>
      <c r="AA288" t="s">
        <v>125</v>
      </c>
      <c r="AB288" t="s">
        <v>125</v>
      </c>
      <c r="AC288">
        <v>0</v>
      </c>
      <c r="AD288" t="s">
        <v>125</v>
      </c>
      <c r="AE288" t="s">
        <v>125</v>
      </c>
      <c r="AF288">
        <v>31</v>
      </c>
      <c r="AG288">
        <v>21</v>
      </c>
      <c r="AH288">
        <v>10</v>
      </c>
      <c r="AI288">
        <v>0</v>
      </c>
      <c r="AJ288">
        <v>21</v>
      </c>
      <c r="AK288">
        <v>7.5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</row>
    <row r="289" spans="1:43" hidden="1" x14ac:dyDescent="0.25">
      <c r="A289" s="1">
        <v>46419</v>
      </c>
      <c r="B289" t="s">
        <v>32</v>
      </c>
      <c r="C289" t="s">
        <v>33</v>
      </c>
      <c r="D289" t="s">
        <v>33</v>
      </c>
      <c r="E289" t="s">
        <v>32</v>
      </c>
      <c r="F289" t="s">
        <v>34</v>
      </c>
      <c r="G289">
        <v>34</v>
      </c>
      <c r="H289">
        <v>0</v>
      </c>
      <c r="I289">
        <v>29</v>
      </c>
      <c r="J289">
        <v>0</v>
      </c>
      <c r="K289">
        <v>29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0.7</v>
      </c>
      <c r="S289">
        <v>0.21</v>
      </c>
      <c r="T289">
        <v>0.03</v>
      </c>
      <c r="U289">
        <v>286.55</v>
      </c>
      <c r="V289">
        <v>0</v>
      </c>
      <c r="W289">
        <v>0</v>
      </c>
      <c r="X289">
        <v>0</v>
      </c>
      <c r="Y289">
        <v>286.55</v>
      </c>
      <c r="Z289">
        <v>0</v>
      </c>
      <c r="AA289">
        <v>0</v>
      </c>
      <c r="AB289">
        <v>0</v>
      </c>
      <c r="AC289">
        <v>2.31</v>
      </c>
      <c r="AD289">
        <v>0</v>
      </c>
      <c r="AE289">
        <v>2.31</v>
      </c>
      <c r="AF289">
        <v>28</v>
      </c>
      <c r="AG289">
        <v>20</v>
      </c>
      <c r="AH289">
        <v>8</v>
      </c>
      <c r="AI289">
        <v>0</v>
      </c>
      <c r="AJ289">
        <v>20</v>
      </c>
      <c r="AK289">
        <v>7.5</v>
      </c>
      <c r="AL289">
        <v>0</v>
      </c>
      <c r="AM289">
        <v>0</v>
      </c>
      <c r="AN289">
        <v>0</v>
      </c>
      <c r="AO289">
        <v>0.03</v>
      </c>
      <c r="AP289">
        <v>0</v>
      </c>
      <c r="AQ289">
        <v>0.03</v>
      </c>
    </row>
    <row r="290" spans="1:43" hidden="1" x14ac:dyDescent="0.25">
      <c r="A290" s="1">
        <v>46419</v>
      </c>
      <c r="B290" t="s">
        <v>32</v>
      </c>
      <c r="C290" t="s">
        <v>32</v>
      </c>
      <c r="D290" t="s">
        <v>32</v>
      </c>
      <c r="E290" t="s">
        <v>32</v>
      </c>
      <c r="F290" t="s">
        <v>35</v>
      </c>
      <c r="G290">
        <v>164</v>
      </c>
      <c r="H290">
        <v>0</v>
      </c>
      <c r="I290">
        <v>163</v>
      </c>
      <c r="J290">
        <v>0</v>
      </c>
      <c r="K290">
        <v>163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0.7</v>
      </c>
      <c r="S290">
        <v>0.21</v>
      </c>
      <c r="T290">
        <v>0.03</v>
      </c>
      <c r="U290">
        <v>1789.08</v>
      </c>
      <c r="V290">
        <v>0</v>
      </c>
      <c r="W290">
        <v>0</v>
      </c>
      <c r="X290">
        <v>0</v>
      </c>
      <c r="Y290">
        <v>1789.08</v>
      </c>
      <c r="Z290">
        <v>0</v>
      </c>
      <c r="AA290">
        <v>0</v>
      </c>
      <c r="AB290">
        <v>0</v>
      </c>
      <c r="AC290">
        <v>81.010000000000005</v>
      </c>
      <c r="AD290">
        <v>0</v>
      </c>
      <c r="AE290">
        <v>81.010000000000005</v>
      </c>
      <c r="AF290">
        <v>28</v>
      </c>
      <c r="AG290">
        <v>20</v>
      </c>
      <c r="AH290">
        <v>8</v>
      </c>
      <c r="AI290">
        <v>0</v>
      </c>
      <c r="AJ290">
        <v>20</v>
      </c>
      <c r="AK290">
        <v>7.5</v>
      </c>
      <c r="AL290">
        <v>0</v>
      </c>
      <c r="AM290">
        <v>0</v>
      </c>
      <c r="AN290">
        <v>0</v>
      </c>
      <c r="AO290">
        <v>1.01</v>
      </c>
      <c r="AP290">
        <v>0</v>
      </c>
      <c r="AQ290">
        <v>1.01</v>
      </c>
    </row>
    <row r="291" spans="1:43" hidden="1" x14ac:dyDescent="0.25">
      <c r="A291" s="1">
        <v>46419</v>
      </c>
      <c r="B291" t="s">
        <v>32</v>
      </c>
      <c r="C291" t="s">
        <v>36</v>
      </c>
      <c r="D291" t="s">
        <v>36</v>
      </c>
      <c r="E291" t="s">
        <v>32</v>
      </c>
      <c r="F291" t="s">
        <v>34</v>
      </c>
      <c r="G291">
        <v>2</v>
      </c>
      <c r="H291">
        <v>0</v>
      </c>
      <c r="I291">
        <v>4</v>
      </c>
      <c r="J291">
        <v>0</v>
      </c>
      <c r="K291">
        <v>4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0.7</v>
      </c>
      <c r="S291">
        <v>0.21</v>
      </c>
      <c r="T291">
        <v>0.03</v>
      </c>
      <c r="U291">
        <v>480.72</v>
      </c>
      <c r="V291">
        <v>0</v>
      </c>
      <c r="W291">
        <v>0</v>
      </c>
      <c r="X291">
        <v>0</v>
      </c>
      <c r="Y291">
        <v>480.72</v>
      </c>
      <c r="Z291">
        <v>0</v>
      </c>
      <c r="AA291">
        <v>0</v>
      </c>
      <c r="AB291">
        <v>0</v>
      </c>
      <c r="AC291">
        <v>0.53</v>
      </c>
      <c r="AD291">
        <v>0</v>
      </c>
      <c r="AE291">
        <v>0.53</v>
      </c>
      <c r="AF291">
        <v>28</v>
      </c>
      <c r="AG291">
        <v>20</v>
      </c>
      <c r="AH291">
        <v>8</v>
      </c>
      <c r="AI291">
        <v>0</v>
      </c>
      <c r="AJ291">
        <v>20</v>
      </c>
      <c r="AK291">
        <v>7.5</v>
      </c>
      <c r="AL291">
        <v>0</v>
      </c>
      <c r="AM291">
        <v>0</v>
      </c>
      <c r="AN291">
        <v>0</v>
      </c>
      <c r="AO291">
        <v>0.01</v>
      </c>
      <c r="AP291">
        <v>0</v>
      </c>
      <c r="AQ291">
        <v>0.01</v>
      </c>
    </row>
    <row r="292" spans="1:43" hidden="1" x14ac:dyDescent="0.25">
      <c r="A292" s="1">
        <v>46419</v>
      </c>
      <c r="B292" t="s">
        <v>32</v>
      </c>
      <c r="C292" t="s">
        <v>37</v>
      </c>
      <c r="D292" t="s">
        <v>37</v>
      </c>
      <c r="E292" t="s">
        <v>32</v>
      </c>
      <c r="F292" t="s">
        <v>34</v>
      </c>
      <c r="G292">
        <v>1</v>
      </c>
      <c r="H292">
        <v>0</v>
      </c>
      <c r="I292">
        <v>1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1</v>
      </c>
      <c r="Q292">
        <v>0</v>
      </c>
      <c r="R292">
        <v>0.7</v>
      </c>
      <c r="S292">
        <v>0.21</v>
      </c>
      <c r="T292">
        <v>0.03</v>
      </c>
      <c r="U292">
        <v>299.33</v>
      </c>
      <c r="V292">
        <v>0</v>
      </c>
      <c r="W292">
        <v>0</v>
      </c>
      <c r="X292">
        <v>0</v>
      </c>
      <c r="Y292">
        <v>299.33</v>
      </c>
      <c r="Z292">
        <v>0</v>
      </c>
      <c r="AA292">
        <v>0</v>
      </c>
      <c r="AB292">
        <v>0</v>
      </c>
      <c r="AC292">
        <v>0.08</v>
      </c>
      <c r="AD292">
        <v>0</v>
      </c>
      <c r="AE292">
        <v>0.08</v>
      </c>
      <c r="AF292">
        <v>28</v>
      </c>
      <c r="AG292">
        <v>20</v>
      </c>
      <c r="AH292">
        <v>8</v>
      </c>
      <c r="AI292">
        <v>0</v>
      </c>
      <c r="AJ292">
        <v>20</v>
      </c>
      <c r="AK292">
        <v>7.5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</row>
    <row r="293" spans="1:43" hidden="1" x14ac:dyDescent="0.25">
      <c r="A293" s="1">
        <v>46419</v>
      </c>
      <c r="B293" t="s">
        <v>32</v>
      </c>
      <c r="C293" t="s">
        <v>38</v>
      </c>
      <c r="D293" t="s">
        <v>38</v>
      </c>
      <c r="E293" t="s">
        <v>32</v>
      </c>
      <c r="F293" t="s">
        <v>34</v>
      </c>
      <c r="G293">
        <v>3092</v>
      </c>
      <c r="H293">
        <v>0</v>
      </c>
      <c r="I293">
        <v>3727</v>
      </c>
      <c r="J293">
        <v>0</v>
      </c>
      <c r="K293">
        <v>3727</v>
      </c>
      <c r="L293">
        <v>0</v>
      </c>
      <c r="M293">
        <v>0</v>
      </c>
      <c r="N293">
        <v>0</v>
      </c>
      <c r="O293">
        <v>0</v>
      </c>
      <c r="P293">
        <v>0.53320000000000001</v>
      </c>
      <c r="Q293">
        <v>0.46679999999999999</v>
      </c>
      <c r="R293">
        <v>0.7</v>
      </c>
      <c r="S293">
        <v>0.21</v>
      </c>
      <c r="T293">
        <v>0.03</v>
      </c>
      <c r="U293">
        <v>602.35</v>
      </c>
      <c r="V293">
        <v>0.7</v>
      </c>
      <c r="W293">
        <v>0.21</v>
      </c>
      <c r="X293">
        <v>0.03</v>
      </c>
      <c r="Y293">
        <v>602.35</v>
      </c>
      <c r="Z293">
        <v>0</v>
      </c>
      <c r="AA293">
        <v>0</v>
      </c>
      <c r="AB293">
        <v>0</v>
      </c>
      <c r="AC293">
        <v>332.5</v>
      </c>
      <c r="AD293">
        <v>291.10000000000002</v>
      </c>
      <c r="AE293">
        <v>623.6</v>
      </c>
      <c r="AF293">
        <v>28</v>
      </c>
      <c r="AG293">
        <v>20</v>
      </c>
      <c r="AH293">
        <v>8</v>
      </c>
      <c r="AI293">
        <v>0</v>
      </c>
      <c r="AJ293">
        <v>20</v>
      </c>
      <c r="AK293">
        <v>7.5</v>
      </c>
      <c r="AL293">
        <v>0</v>
      </c>
      <c r="AM293">
        <v>0</v>
      </c>
      <c r="AN293">
        <v>0</v>
      </c>
      <c r="AO293">
        <v>4.13</v>
      </c>
      <c r="AP293">
        <v>3.61</v>
      </c>
      <c r="AQ293">
        <v>7.74</v>
      </c>
    </row>
    <row r="294" spans="1:43" hidden="1" x14ac:dyDescent="0.25">
      <c r="A294" s="1">
        <v>46419</v>
      </c>
      <c r="B294" t="s">
        <v>32</v>
      </c>
      <c r="C294" t="s">
        <v>39</v>
      </c>
      <c r="D294" t="s">
        <v>39</v>
      </c>
      <c r="E294" t="s">
        <v>32</v>
      </c>
      <c r="F294" t="s">
        <v>34</v>
      </c>
      <c r="G294">
        <v>19</v>
      </c>
      <c r="H294">
        <v>0</v>
      </c>
      <c r="I294">
        <v>56</v>
      </c>
      <c r="J294">
        <v>0</v>
      </c>
      <c r="K294">
        <v>56</v>
      </c>
      <c r="L294">
        <v>0</v>
      </c>
      <c r="M294">
        <v>0</v>
      </c>
      <c r="N294">
        <v>0</v>
      </c>
      <c r="O294">
        <v>0</v>
      </c>
      <c r="P294">
        <v>1</v>
      </c>
      <c r="Q294">
        <v>0</v>
      </c>
      <c r="R294">
        <v>0.7</v>
      </c>
      <c r="S294">
        <v>0.21</v>
      </c>
      <c r="T294">
        <v>0.03</v>
      </c>
      <c r="U294">
        <v>462.54</v>
      </c>
      <c r="V294">
        <v>0</v>
      </c>
      <c r="W294">
        <v>0</v>
      </c>
      <c r="X294">
        <v>0</v>
      </c>
      <c r="Y294">
        <v>462.54</v>
      </c>
      <c r="Z294">
        <v>0</v>
      </c>
      <c r="AA294">
        <v>0</v>
      </c>
      <c r="AB294">
        <v>0</v>
      </c>
      <c r="AC294">
        <v>7.2</v>
      </c>
      <c r="AD294">
        <v>0</v>
      </c>
      <c r="AE294">
        <v>7.2</v>
      </c>
      <c r="AF294">
        <v>28</v>
      </c>
      <c r="AG294">
        <v>20</v>
      </c>
      <c r="AH294">
        <v>8</v>
      </c>
      <c r="AI294">
        <v>0</v>
      </c>
      <c r="AJ294">
        <v>20</v>
      </c>
      <c r="AK294">
        <v>7.5</v>
      </c>
      <c r="AL294">
        <v>0</v>
      </c>
      <c r="AM294">
        <v>0</v>
      </c>
      <c r="AN294">
        <v>0</v>
      </c>
      <c r="AO294">
        <v>0.09</v>
      </c>
      <c r="AP294">
        <v>0</v>
      </c>
      <c r="AQ294">
        <v>0.09</v>
      </c>
    </row>
    <row r="295" spans="1:43" hidden="1" x14ac:dyDescent="0.25">
      <c r="A295" s="1">
        <v>46419</v>
      </c>
      <c r="B295" t="s">
        <v>32</v>
      </c>
      <c r="C295" t="s">
        <v>40</v>
      </c>
      <c r="D295" t="s">
        <v>40</v>
      </c>
      <c r="E295" t="s">
        <v>32</v>
      </c>
      <c r="F295" t="s">
        <v>34</v>
      </c>
      <c r="G295">
        <v>49</v>
      </c>
      <c r="H295">
        <v>0</v>
      </c>
      <c r="I295">
        <v>43</v>
      </c>
      <c r="J295">
        <v>0</v>
      </c>
      <c r="K295">
        <v>43</v>
      </c>
      <c r="L295">
        <v>0</v>
      </c>
      <c r="M295">
        <v>0</v>
      </c>
      <c r="N295">
        <v>0</v>
      </c>
      <c r="O295">
        <v>0</v>
      </c>
      <c r="P295">
        <v>0.1043</v>
      </c>
      <c r="Q295">
        <v>0.89570000000000005</v>
      </c>
      <c r="R295">
        <v>0.7</v>
      </c>
      <c r="S295">
        <v>0.21</v>
      </c>
      <c r="T295">
        <v>0.03</v>
      </c>
      <c r="U295">
        <v>653.49</v>
      </c>
      <c r="V295">
        <v>0.7</v>
      </c>
      <c r="W295">
        <v>0.21</v>
      </c>
      <c r="X295">
        <v>0.03</v>
      </c>
      <c r="Y295">
        <v>653.49</v>
      </c>
      <c r="Z295">
        <v>0</v>
      </c>
      <c r="AA295">
        <v>0</v>
      </c>
      <c r="AB295">
        <v>0</v>
      </c>
      <c r="AC295">
        <v>0.81</v>
      </c>
      <c r="AD295">
        <v>6.99</v>
      </c>
      <c r="AE295">
        <v>7.81</v>
      </c>
      <c r="AF295">
        <v>28</v>
      </c>
      <c r="AG295">
        <v>20</v>
      </c>
      <c r="AH295">
        <v>8</v>
      </c>
      <c r="AI295">
        <v>0</v>
      </c>
      <c r="AJ295">
        <v>20</v>
      </c>
      <c r="AK295">
        <v>7.5</v>
      </c>
      <c r="AL295">
        <v>0</v>
      </c>
      <c r="AM295">
        <v>0</v>
      </c>
      <c r="AN295">
        <v>0</v>
      </c>
      <c r="AO295">
        <v>0.01</v>
      </c>
      <c r="AP295">
        <v>0.09</v>
      </c>
      <c r="AQ295">
        <v>9.9999999999999895E-2</v>
      </c>
    </row>
    <row r="296" spans="1:43" hidden="1" x14ac:dyDescent="0.25">
      <c r="A296" s="1">
        <v>46419</v>
      </c>
      <c r="B296" t="s">
        <v>32</v>
      </c>
      <c r="C296" t="s">
        <v>41</v>
      </c>
      <c r="D296" t="s">
        <v>41</v>
      </c>
      <c r="E296" t="s">
        <v>32</v>
      </c>
      <c r="F296" t="s">
        <v>34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 t="s">
        <v>125</v>
      </c>
      <c r="Z296">
        <v>0</v>
      </c>
      <c r="AA296" t="s">
        <v>125</v>
      </c>
      <c r="AB296" t="s">
        <v>125</v>
      </c>
      <c r="AC296">
        <v>0</v>
      </c>
      <c r="AD296" t="s">
        <v>125</v>
      </c>
      <c r="AE296" t="s">
        <v>125</v>
      </c>
      <c r="AF296">
        <v>28</v>
      </c>
      <c r="AG296">
        <v>20</v>
      </c>
      <c r="AH296">
        <v>8</v>
      </c>
      <c r="AI296">
        <v>0</v>
      </c>
      <c r="AJ296">
        <v>20</v>
      </c>
      <c r="AK296">
        <v>7.5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</row>
    <row r="297" spans="1:43" hidden="1" x14ac:dyDescent="0.25">
      <c r="A297" s="1">
        <v>46419</v>
      </c>
      <c r="B297" t="s">
        <v>32</v>
      </c>
      <c r="C297" t="s">
        <v>42</v>
      </c>
      <c r="D297" t="s">
        <v>42</v>
      </c>
      <c r="E297" t="s">
        <v>32</v>
      </c>
      <c r="F297" t="s">
        <v>34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 t="s">
        <v>125</v>
      </c>
      <c r="Z297">
        <v>0</v>
      </c>
      <c r="AA297" t="s">
        <v>125</v>
      </c>
      <c r="AB297" t="s">
        <v>125</v>
      </c>
      <c r="AC297">
        <v>0</v>
      </c>
      <c r="AD297" t="s">
        <v>125</v>
      </c>
      <c r="AE297" t="s">
        <v>125</v>
      </c>
      <c r="AF297">
        <v>28</v>
      </c>
      <c r="AG297">
        <v>20</v>
      </c>
      <c r="AH297">
        <v>8</v>
      </c>
      <c r="AI297">
        <v>0</v>
      </c>
      <c r="AJ297">
        <v>20</v>
      </c>
      <c r="AK297">
        <v>7.5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</row>
    <row r="298" spans="1:43" hidden="1" x14ac:dyDescent="0.25">
      <c r="A298" s="1">
        <v>46419</v>
      </c>
      <c r="B298" t="s">
        <v>32</v>
      </c>
      <c r="C298" t="s">
        <v>43</v>
      </c>
      <c r="D298" t="s">
        <v>43</v>
      </c>
      <c r="E298" t="s">
        <v>32</v>
      </c>
      <c r="F298" t="s">
        <v>34</v>
      </c>
      <c r="G298">
        <v>2</v>
      </c>
      <c r="H298">
        <v>0</v>
      </c>
      <c r="I298">
        <v>2</v>
      </c>
      <c r="J298">
        <v>0</v>
      </c>
      <c r="K298">
        <v>2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0</v>
      </c>
      <c r="R298">
        <v>0.7</v>
      </c>
      <c r="S298">
        <v>0.21</v>
      </c>
      <c r="T298">
        <v>0.03</v>
      </c>
      <c r="U298">
        <v>344.84</v>
      </c>
      <c r="V298">
        <v>0</v>
      </c>
      <c r="W298">
        <v>0</v>
      </c>
      <c r="X298">
        <v>0</v>
      </c>
      <c r="Y298">
        <v>344.84</v>
      </c>
      <c r="Z298">
        <v>0</v>
      </c>
      <c r="AA298">
        <v>0</v>
      </c>
      <c r="AB298">
        <v>0</v>
      </c>
      <c r="AC298">
        <v>0.19</v>
      </c>
      <c r="AD298">
        <v>0</v>
      </c>
      <c r="AE298">
        <v>0.19</v>
      </c>
      <c r="AF298">
        <v>28</v>
      </c>
      <c r="AG298">
        <v>20</v>
      </c>
      <c r="AH298">
        <v>8</v>
      </c>
      <c r="AI298">
        <v>0</v>
      </c>
      <c r="AJ298">
        <v>20</v>
      </c>
      <c r="AK298">
        <v>7.5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</row>
    <row r="299" spans="1:43" hidden="1" x14ac:dyDescent="0.25">
      <c r="A299" s="1">
        <v>46419</v>
      </c>
      <c r="B299" t="s">
        <v>32</v>
      </c>
      <c r="C299" t="s">
        <v>44</v>
      </c>
      <c r="D299" t="s">
        <v>44</v>
      </c>
      <c r="E299" t="s">
        <v>32</v>
      </c>
      <c r="F299" t="s">
        <v>34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0</v>
      </c>
      <c r="R299">
        <v>0.7</v>
      </c>
      <c r="S299">
        <v>0.21</v>
      </c>
      <c r="T299">
        <v>0.03</v>
      </c>
      <c r="U299">
        <v>0</v>
      </c>
      <c r="V299">
        <v>0</v>
      </c>
      <c r="W299">
        <v>0</v>
      </c>
      <c r="X299">
        <v>0</v>
      </c>
      <c r="Y299" t="s">
        <v>125</v>
      </c>
      <c r="Z299">
        <v>0</v>
      </c>
      <c r="AA299" t="s">
        <v>125</v>
      </c>
      <c r="AB299" t="s">
        <v>125</v>
      </c>
      <c r="AC299">
        <v>0</v>
      </c>
      <c r="AD299" t="s">
        <v>125</v>
      </c>
      <c r="AE299" t="s">
        <v>125</v>
      </c>
      <c r="AF299">
        <v>28</v>
      </c>
      <c r="AG299">
        <v>20</v>
      </c>
      <c r="AH299">
        <v>8</v>
      </c>
      <c r="AI299">
        <v>0</v>
      </c>
      <c r="AJ299">
        <v>20</v>
      </c>
      <c r="AK299">
        <v>7.5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</row>
    <row r="300" spans="1:43" hidden="1" x14ac:dyDescent="0.25">
      <c r="A300" s="1">
        <v>46447</v>
      </c>
      <c r="B300" t="s">
        <v>32</v>
      </c>
      <c r="C300" t="s">
        <v>33</v>
      </c>
      <c r="D300" t="s">
        <v>33</v>
      </c>
      <c r="E300" t="s">
        <v>32</v>
      </c>
      <c r="F300" t="s">
        <v>34</v>
      </c>
      <c r="G300">
        <v>0</v>
      </c>
      <c r="H300">
        <v>0</v>
      </c>
      <c r="I300">
        <v>33</v>
      </c>
      <c r="J300">
        <v>0</v>
      </c>
      <c r="K300">
        <v>33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0</v>
      </c>
      <c r="R300">
        <v>0.7</v>
      </c>
      <c r="S300">
        <v>0.21</v>
      </c>
      <c r="T300">
        <v>0.03</v>
      </c>
      <c r="U300">
        <v>286.55</v>
      </c>
      <c r="V300">
        <v>0</v>
      </c>
      <c r="W300">
        <v>0</v>
      </c>
      <c r="X300">
        <v>0</v>
      </c>
      <c r="Y300">
        <v>286.55</v>
      </c>
      <c r="Z300">
        <v>0</v>
      </c>
      <c r="AA300">
        <v>0</v>
      </c>
      <c r="AB300">
        <v>0</v>
      </c>
      <c r="AC300">
        <v>2.63</v>
      </c>
      <c r="AD300">
        <v>0</v>
      </c>
      <c r="AE300">
        <v>2.63</v>
      </c>
      <c r="AF300">
        <v>31</v>
      </c>
      <c r="AG300">
        <v>23</v>
      </c>
      <c r="AH300">
        <v>8</v>
      </c>
      <c r="AI300">
        <v>0</v>
      </c>
      <c r="AJ300">
        <v>23</v>
      </c>
      <c r="AK300">
        <v>7.5</v>
      </c>
      <c r="AL300">
        <v>0</v>
      </c>
      <c r="AM300">
        <v>0</v>
      </c>
      <c r="AN300">
        <v>0</v>
      </c>
      <c r="AO300">
        <v>0.03</v>
      </c>
      <c r="AP300">
        <v>0</v>
      </c>
      <c r="AQ300">
        <v>0.03</v>
      </c>
    </row>
    <row r="301" spans="1:43" hidden="1" x14ac:dyDescent="0.25">
      <c r="A301" s="1">
        <v>46447</v>
      </c>
      <c r="B301" t="s">
        <v>32</v>
      </c>
      <c r="C301" t="s">
        <v>32</v>
      </c>
      <c r="D301" t="s">
        <v>32</v>
      </c>
      <c r="E301" t="s">
        <v>32</v>
      </c>
      <c r="F301" t="s">
        <v>35</v>
      </c>
      <c r="G301">
        <v>0</v>
      </c>
      <c r="H301">
        <v>0</v>
      </c>
      <c r="I301">
        <v>188</v>
      </c>
      <c r="J301">
        <v>0</v>
      </c>
      <c r="K301">
        <v>188</v>
      </c>
      <c r="L301">
        <v>0</v>
      </c>
      <c r="M301">
        <v>0</v>
      </c>
      <c r="N301">
        <v>0</v>
      </c>
      <c r="O301">
        <v>0</v>
      </c>
      <c r="P301">
        <v>1</v>
      </c>
      <c r="Q301">
        <v>0</v>
      </c>
      <c r="R301">
        <v>0.7</v>
      </c>
      <c r="S301">
        <v>0.21</v>
      </c>
      <c r="T301">
        <v>0.03</v>
      </c>
      <c r="U301">
        <v>1789.08</v>
      </c>
      <c r="V301">
        <v>0</v>
      </c>
      <c r="W301">
        <v>0</v>
      </c>
      <c r="X301">
        <v>0</v>
      </c>
      <c r="Y301">
        <v>1789.08</v>
      </c>
      <c r="Z301">
        <v>0</v>
      </c>
      <c r="AA301">
        <v>0</v>
      </c>
      <c r="AB301">
        <v>0</v>
      </c>
      <c r="AC301">
        <v>93.43</v>
      </c>
      <c r="AD301">
        <v>0</v>
      </c>
      <c r="AE301">
        <v>93.43</v>
      </c>
      <c r="AF301">
        <v>31</v>
      </c>
      <c r="AG301">
        <v>23</v>
      </c>
      <c r="AH301">
        <v>8</v>
      </c>
      <c r="AI301">
        <v>0</v>
      </c>
      <c r="AJ301">
        <v>23</v>
      </c>
      <c r="AK301">
        <v>7.5</v>
      </c>
      <c r="AL301">
        <v>0</v>
      </c>
      <c r="AM301">
        <v>0</v>
      </c>
      <c r="AN301">
        <v>0</v>
      </c>
      <c r="AO301">
        <v>1.01</v>
      </c>
      <c r="AP301">
        <v>0</v>
      </c>
      <c r="AQ301">
        <v>1.01</v>
      </c>
    </row>
    <row r="302" spans="1:43" hidden="1" x14ac:dyDescent="0.25">
      <c r="A302" s="1">
        <v>46447</v>
      </c>
      <c r="B302" t="s">
        <v>32</v>
      </c>
      <c r="C302" t="s">
        <v>36</v>
      </c>
      <c r="D302" t="s">
        <v>36</v>
      </c>
      <c r="E302" t="s">
        <v>32</v>
      </c>
      <c r="F302" t="s">
        <v>34</v>
      </c>
      <c r="G302">
        <v>0</v>
      </c>
      <c r="H302">
        <v>0</v>
      </c>
      <c r="I302">
        <v>8</v>
      </c>
      <c r="J302">
        <v>0</v>
      </c>
      <c r="K302">
        <v>8</v>
      </c>
      <c r="L302">
        <v>0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0.7</v>
      </c>
      <c r="S302">
        <v>0.21</v>
      </c>
      <c r="T302">
        <v>0.03</v>
      </c>
      <c r="U302">
        <v>480.72</v>
      </c>
      <c r="V302">
        <v>0</v>
      </c>
      <c r="W302">
        <v>0</v>
      </c>
      <c r="X302">
        <v>0</v>
      </c>
      <c r="Y302">
        <v>480.72</v>
      </c>
      <c r="Z302">
        <v>0</v>
      </c>
      <c r="AA302">
        <v>0</v>
      </c>
      <c r="AB302">
        <v>0</v>
      </c>
      <c r="AC302">
        <v>1.07</v>
      </c>
      <c r="AD302">
        <v>0</v>
      </c>
      <c r="AE302">
        <v>1.07</v>
      </c>
      <c r="AF302">
        <v>31</v>
      </c>
      <c r="AG302">
        <v>23</v>
      </c>
      <c r="AH302">
        <v>8</v>
      </c>
      <c r="AI302">
        <v>0</v>
      </c>
      <c r="AJ302">
        <v>23</v>
      </c>
      <c r="AK302">
        <v>7.5</v>
      </c>
      <c r="AL302">
        <v>0</v>
      </c>
      <c r="AM302">
        <v>0</v>
      </c>
      <c r="AN302">
        <v>0</v>
      </c>
      <c r="AO302">
        <v>0.01</v>
      </c>
      <c r="AP302">
        <v>0</v>
      </c>
      <c r="AQ302">
        <v>0.01</v>
      </c>
    </row>
    <row r="303" spans="1:43" hidden="1" x14ac:dyDescent="0.25">
      <c r="A303" s="1">
        <v>46447</v>
      </c>
      <c r="B303" t="s">
        <v>32</v>
      </c>
      <c r="C303" t="s">
        <v>37</v>
      </c>
      <c r="D303" t="s">
        <v>37</v>
      </c>
      <c r="E303" t="s">
        <v>32</v>
      </c>
      <c r="F303" t="s">
        <v>34</v>
      </c>
      <c r="G303">
        <v>0</v>
      </c>
      <c r="H303">
        <v>0</v>
      </c>
      <c r="I303">
        <v>1</v>
      </c>
      <c r="J303">
        <v>0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0</v>
      </c>
      <c r="R303">
        <v>0.7</v>
      </c>
      <c r="S303">
        <v>0.21</v>
      </c>
      <c r="T303">
        <v>0.03</v>
      </c>
      <c r="U303">
        <v>299.33</v>
      </c>
      <c r="V303">
        <v>0</v>
      </c>
      <c r="W303">
        <v>0</v>
      </c>
      <c r="X303">
        <v>0</v>
      </c>
      <c r="Y303">
        <v>299.33</v>
      </c>
      <c r="Z303">
        <v>0</v>
      </c>
      <c r="AA303">
        <v>0</v>
      </c>
      <c r="AB303">
        <v>0</v>
      </c>
      <c r="AC303">
        <v>0.08</v>
      </c>
      <c r="AD303">
        <v>0</v>
      </c>
      <c r="AE303">
        <v>0.08</v>
      </c>
      <c r="AF303">
        <v>31</v>
      </c>
      <c r="AG303">
        <v>23</v>
      </c>
      <c r="AH303">
        <v>8</v>
      </c>
      <c r="AI303">
        <v>0</v>
      </c>
      <c r="AJ303">
        <v>23</v>
      </c>
      <c r="AK303">
        <v>7.5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</row>
    <row r="304" spans="1:43" hidden="1" x14ac:dyDescent="0.25">
      <c r="A304" s="1">
        <v>46447</v>
      </c>
      <c r="B304" t="s">
        <v>32</v>
      </c>
      <c r="C304" t="s">
        <v>38</v>
      </c>
      <c r="D304" t="s">
        <v>38</v>
      </c>
      <c r="E304" t="s">
        <v>32</v>
      </c>
      <c r="F304" t="s">
        <v>34</v>
      </c>
      <c r="G304">
        <v>0</v>
      </c>
      <c r="H304">
        <v>0</v>
      </c>
      <c r="I304">
        <v>4254</v>
      </c>
      <c r="J304">
        <v>0</v>
      </c>
      <c r="K304">
        <v>4254</v>
      </c>
      <c r="L304">
        <v>0</v>
      </c>
      <c r="M304">
        <v>0</v>
      </c>
      <c r="N304">
        <v>0</v>
      </c>
      <c r="O304">
        <v>0</v>
      </c>
      <c r="P304">
        <v>0.53320000000000001</v>
      </c>
      <c r="Q304">
        <v>0.46679999999999999</v>
      </c>
      <c r="R304">
        <v>0.7</v>
      </c>
      <c r="S304">
        <v>0.21</v>
      </c>
      <c r="T304">
        <v>0.03</v>
      </c>
      <c r="U304">
        <v>602.35</v>
      </c>
      <c r="V304">
        <v>0.7</v>
      </c>
      <c r="W304">
        <v>0.21</v>
      </c>
      <c r="X304">
        <v>0.03</v>
      </c>
      <c r="Y304">
        <v>602.35</v>
      </c>
      <c r="Z304">
        <v>0</v>
      </c>
      <c r="AA304">
        <v>0</v>
      </c>
      <c r="AB304">
        <v>0</v>
      </c>
      <c r="AC304">
        <v>379.52</v>
      </c>
      <c r="AD304">
        <v>332.26</v>
      </c>
      <c r="AE304">
        <v>711.78</v>
      </c>
      <c r="AF304">
        <v>31</v>
      </c>
      <c r="AG304">
        <v>23</v>
      </c>
      <c r="AH304">
        <v>8</v>
      </c>
      <c r="AI304">
        <v>0</v>
      </c>
      <c r="AJ304">
        <v>23</v>
      </c>
      <c r="AK304">
        <v>7.5</v>
      </c>
      <c r="AL304">
        <v>0</v>
      </c>
      <c r="AM304">
        <v>0</v>
      </c>
      <c r="AN304">
        <v>0</v>
      </c>
      <c r="AO304">
        <v>4.0999999999999996</v>
      </c>
      <c r="AP304">
        <v>3.59</v>
      </c>
      <c r="AQ304">
        <v>7.6899999999999897</v>
      </c>
    </row>
    <row r="305" spans="1:43" hidden="1" x14ac:dyDescent="0.25">
      <c r="A305" s="1">
        <v>46447</v>
      </c>
      <c r="B305" t="s">
        <v>32</v>
      </c>
      <c r="C305" t="s">
        <v>39</v>
      </c>
      <c r="D305" t="s">
        <v>39</v>
      </c>
      <c r="E305" t="s">
        <v>32</v>
      </c>
      <c r="F305" t="s">
        <v>34</v>
      </c>
      <c r="G305">
        <v>0</v>
      </c>
      <c r="H305">
        <v>0</v>
      </c>
      <c r="I305">
        <v>63</v>
      </c>
      <c r="J305">
        <v>0</v>
      </c>
      <c r="K305">
        <v>63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0</v>
      </c>
      <c r="R305">
        <v>0.7</v>
      </c>
      <c r="S305">
        <v>0.21</v>
      </c>
      <c r="T305">
        <v>0.03</v>
      </c>
      <c r="U305">
        <v>462.54</v>
      </c>
      <c r="V305">
        <v>0</v>
      </c>
      <c r="W305">
        <v>0</v>
      </c>
      <c r="X305">
        <v>0</v>
      </c>
      <c r="Y305">
        <v>462.54</v>
      </c>
      <c r="Z305">
        <v>0</v>
      </c>
      <c r="AA305">
        <v>0</v>
      </c>
      <c r="AB305">
        <v>0</v>
      </c>
      <c r="AC305">
        <v>8.09</v>
      </c>
      <c r="AD305">
        <v>0</v>
      </c>
      <c r="AE305">
        <v>8.09</v>
      </c>
      <c r="AF305">
        <v>31</v>
      </c>
      <c r="AG305">
        <v>23</v>
      </c>
      <c r="AH305">
        <v>8</v>
      </c>
      <c r="AI305">
        <v>0</v>
      </c>
      <c r="AJ305">
        <v>23</v>
      </c>
      <c r="AK305">
        <v>7.5</v>
      </c>
      <c r="AL305">
        <v>0</v>
      </c>
      <c r="AM305">
        <v>0</v>
      </c>
      <c r="AN305">
        <v>0</v>
      </c>
      <c r="AO305">
        <v>0.09</v>
      </c>
      <c r="AP305">
        <v>0</v>
      </c>
      <c r="AQ305">
        <v>0.09</v>
      </c>
    </row>
    <row r="306" spans="1:43" hidden="1" x14ac:dyDescent="0.25">
      <c r="A306" s="1">
        <v>46447</v>
      </c>
      <c r="B306" t="s">
        <v>32</v>
      </c>
      <c r="C306" t="s">
        <v>40</v>
      </c>
      <c r="D306" t="s">
        <v>40</v>
      </c>
      <c r="E306" t="s">
        <v>32</v>
      </c>
      <c r="F306" t="s">
        <v>34</v>
      </c>
      <c r="G306">
        <v>0</v>
      </c>
      <c r="H306">
        <v>0</v>
      </c>
      <c r="I306">
        <v>49</v>
      </c>
      <c r="J306">
        <v>0</v>
      </c>
      <c r="K306">
        <v>49</v>
      </c>
      <c r="L306">
        <v>0</v>
      </c>
      <c r="M306">
        <v>0</v>
      </c>
      <c r="N306">
        <v>0</v>
      </c>
      <c r="O306">
        <v>0</v>
      </c>
      <c r="P306">
        <v>0.1043</v>
      </c>
      <c r="Q306">
        <v>0.89570000000000005</v>
      </c>
      <c r="R306">
        <v>0.7</v>
      </c>
      <c r="S306">
        <v>0.21</v>
      </c>
      <c r="T306">
        <v>0.03</v>
      </c>
      <c r="U306">
        <v>653.49</v>
      </c>
      <c r="V306">
        <v>0.7</v>
      </c>
      <c r="W306">
        <v>0.21</v>
      </c>
      <c r="X306">
        <v>0.03</v>
      </c>
      <c r="Y306">
        <v>653.49</v>
      </c>
      <c r="Z306">
        <v>0</v>
      </c>
      <c r="AA306">
        <v>0</v>
      </c>
      <c r="AB306">
        <v>0</v>
      </c>
      <c r="AC306">
        <v>0.93</v>
      </c>
      <c r="AD306">
        <v>7.97</v>
      </c>
      <c r="AE306">
        <v>8.89</v>
      </c>
      <c r="AF306">
        <v>31</v>
      </c>
      <c r="AG306">
        <v>23</v>
      </c>
      <c r="AH306">
        <v>8</v>
      </c>
      <c r="AI306">
        <v>0</v>
      </c>
      <c r="AJ306">
        <v>23</v>
      </c>
      <c r="AK306">
        <v>7.5</v>
      </c>
      <c r="AL306">
        <v>0</v>
      </c>
      <c r="AM306">
        <v>0</v>
      </c>
      <c r="AN306">
        <v>0</v>
      </c>
      <c r="AO306">
        <v>0.01</v>
      </c>
      <c r="AP306">
        <v>0.09</v>
      </c>
      <c r="AQ306">
        <v>9.9999999999999895E-2</v>
      </c>
    </row>
    <row r="307" spans="1:43" hidden="1" x14ac:dyDescent="0.25">
      <c r="A307" s="1">
        <v>46447</v>
      </c>
      <c r="B307" t="s">
        <v>32</v>
      </c>
      <c r="C307" t="s">
        <v>41</v>
      </c>
      <c r="D307" t="s">
        <v>41</v>
      </c>
      <c r="E307" t="s">
        <v>32</v>
      </c>
      <c r="F307" t="s">
        <v>34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125</v>
      </c>
      <c r="Z307">
        <v>0</v>
      </c>
      <c r="AA307" t="s">
        <v>125</v>
      </c>
      <c r="AB307" t="s">
        <v>125</v>
      </c>
      <c r="AC307">
        <v>0</v>
      </c>
      <c r="AD307" t="s">
        <v>125</v>
      </c>
      <c r="AE307" t="s">
        <v>125</v>
      </c>
      <c r="AF307">
        <v>31</v>
      </c>
      <c r="AG307">
        <v>23</v>
      </c>
      <c r="AH307">
        <v>8</v>
      </c>
      <c r="AI307">
        <v>0</v>
      </c>
      <c r="AJ307">
        <v>23</v>
      </c>
      <c r="AK307">
        <v>7.5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</row>
    <row r="308" spans="1:43" hidden="1" x14ac:dyDescent="0.25">
      <c r="A308" s="1">
        <v>46447</v>
      </c>
      <c r="B308" t="s">
        <v>32</v>
      </c>
      <c r="C308" t="s">
        <v>42</v>
      </c>
      <c r="D308" t="s">
        <v>42</v>
      </c>
      <c r="E308" t="s">
        <v>32</v>
      </c>
      <c r="F308" t="s">
        <v>34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125</v>
      </c>
      <c r="Z308">
        <v>0</v>
      </c>
      <c r="AA308" t="s">
        <v>125</v>
      </c>
      <c r="AB308" t="s">
        <v>125</v>
      </c>
      <c r="AC308">
        <v>0</v>
      </c>
      <c r="AD308" t="s">
        <v>125</v>
      </c>
      <c r="AE308" t="s">
        <v>125</v>
      </c>
      <c r="AF308">
        <v>31</v>
      </c>
      <c r="AG308">
        <v>23</v>
      </c>
      <c r="AH308">
        <v>8</v>
      </c>
      <c r="AI308">
        <v>0</v>
      </c>
      <c r="AJ308">
        <v>23</v>
      </c>
      <c r="AK308">
        <v>7.5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</row>
    <row r="309" spans="1:43" hidden="1" x14ac:dyDescent="0.25">
      <c r="A309" s="1">
        <v>46447</v>
      </c>
      <c r="B309" t="s">
        <v>32</v>
      </c>
      <c r="C309" t="s">
        <v>43</v>
      </c>
      <c r="D309" t="s">
        <v>43</v>
      </c>
      <c r="E309" t="s">
        <v>32</v>
      </c>
      <c r="F309" t="s">
        <v>34</v>
      </c>
      <c r="G309">
        <v>0</v>
      </c>
      <c r="H309">
        <v>0</v>
      </c>
      <c r="I309">
        <v>2</v>
      </c>
      <c r="J309">
        <v>0</v>
      </c>
      <c r="K309">
        <v>2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0.7</v>
      </c>
      <c r="S309">
        <v>0.21</v>
      </c>
      <c r="T309">
        <v>0.03</v>
      </c>
      <c r="U309">
        <v>344.84</v>
      </c>
      <c r="V309">
        <v>0</v>
      </c>
      <c r="W309">
        <v>0</v>
      </c>
      <c r="X309">
        <v>0</v>
      </c>
      <c r="Y309">
        <v>344.84</v>
      </c>
      <c r="Z309">
        <v>0</v>
      </c>
      <c r="AA309">
        <v>0</v>
      </c>
      <c r="AB309">
        <v>0</v>
      </c>
      <c r="AC309">
        <v>0.19</v>
      </c>
      <c r="AD309">
        <v>0</v>
      </c>
      <c r="AE309">
        <v>0.19</v>
      </c>
      <c r="AF309">
        <v>31</v>
      </c>
      <c r="AG309">
        <v>23</v>
      </c>
      <c r="AH309">
        <v>8</v>
      </c>
      <c r="AI309">
        <v>0</v>
      </c>
      <c r="AJ309">
        <v>23</v>
      </c>
      <c r="AK309">
        <v>7.5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</row>
    <row r="310" spans="1:43" hidden="1" x14ac:dyDescent="0.25">
      <c r="A310" s="1">
        <v>46447</v>
      </c>
      <c r="B310" t="s">
        <v>32</v>
      </c>
      <c r="C310" t="s">
        <v>44</v>
      </c>
      <c r="D310" t="s">
        <v>44</v>
      </c>
      <c r="E310" t="s">
        <v>32</v>
      </c>
      <c r="F310" t="s">
        <v>34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0.7</v>
      </c>
      <c r="S310">
        <v>0.21</v>
      </c>
      <c r="T310">
        <v>0.03</v>
      </c>
      <c r="U310">
        <v>0</v>
      </c>
      <c r="V310">
        <v>0</v>
      </c>
      <c r="W310">
        <v>0</v>
      </c>
      <c r="X310">
        <v>0</v>
      </c>
      <c r="Y310" t="s">
        <v>125</v>
      </c>
      <c r="Z310">
        <v>0</v>
      </c>
      <c r="AA310" t="s">
        <v>125</v>
      </c>
      <c r="AB310" t="s">
        <v>125</v>
      </c>
      <c r="AC310">
        <v>0</v>
      </c>
      <c r="AD310" t="s">
        <v>125</v>
      </c>
      <c r="AE310" t="s">
        <v>125</v>
      </c>
      <c r="AF310">
        <v>31</v>
      </c>
      <c r="AG310">
        <v>23</v>
      </c>
      <c r="AH310">
        <v>8</v>
      </c>
      <c r="AI310">
        <v>0</v>
      </c>
      <c r="AJ310">
        <v>23</v>
      </c>
      <c r="AK310">
        <v>7.5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</row>
    <row r="311" spans="1:43" x14ac:dyDescent="0.25">
      <c r="A311" s="1"/>
    </row>
    <row r="312" spans="1:43" x14ac:dyDescent="0.25">
      <c r="A312" s="1"/>
    </row>
    <row r="313" spans="1:43" x14ac:dyDescent="0.25">
      <c r="A313" s="1"/>
    </row>
    <row r="314" spans="1:43" x14ac:dyDescent="0.25">
      <c r="A314" s="1"/>
    </row>
    <row r="315" spans="1:43" x14ac:dyDescent="0.25">
      <c r="A315" s="1"/>
    </row>
    <row r="316" spans="1:43" x14ac:dyDescent="0.25">
      <c r="A316" s="1"/>
    </row>
    <row r="317" spans="1:43" x14ac:dyDescent="0.25">
      <c r="A317" s="1"/>
    </row>
    <row r="318" spans="1:43" x14ac:dyDescent="0.25">
      <c r="A318" s="1"/>
    </row>
    <row r="319" spans="1:43" x14ac:dyDescent="0.25">
      <c r="A319" s="1"/>
    </row>
    <row r="320" spans="1:43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6" x14ac:dyDescent="0.25">
      <c r="A2097" s="1"/>
    </row>
    <row r="2098" spans="1:16" x14ac:dyDescent="0.25">
      <c r="A2098" s="1"/>
    </row>
    <row r="2099" spans="1:16" x14ac:dyDescent="0.25">
      <c r="A2099" s="1"/>
    </row>
    <row r="2100" spans="1:16" x14ac:dyDescent="0.25">
      <c r="A2100" s="1"/>
    </row>
    <row r="2101" spans="1:16" x14ac:dyDescent="0.25">
      <c r="A2101" s="1"/>
    </row>
    <row r="2102" spans="1:16" x14ac:dyDescent="0.25">
      <c r="A2102" s="1"/>
    </row>
    <row r="2103" spans="1:16" x14ac:dyDescent="0.25">
      <c r="A2103" s="1"/>
    </row>
    <row r="2104" spans="1:16" x14ac:dyDescent="0.25">
      <c r="A2104" s="1"/>
    </row>
    <row r="2105" spans="1:16" x14ac:dyDescent="0.25">
      <c r="A2105" s="1"/>
    </row>
    <row r="2106" spans="1:16" x14ac:dyDescent="0.25">
      <c r="A2106" s="1"/>
    </row>
    <row r="2107" spans="1:16" x14ac:dyDescent="0.25">
      <c r="A2107" s="1"/>
    </row>
    <row r="2108" spans="1:16" x14ac:dyDescent="0.25">
      <c r="A2108" s="1"/>
    </row>
    <row r="2109" spans="1:16" x14ac:dyDescent="0.25">
      <c r="A2109" s="1"/>
    </row>
    <row r="2110" spans="1:16" x14ac:dyDescent="0.25">
      <c r="A2110" s="1"/>
      <c r="P2110" s="9"/>
    </row>
    <row r="2111" spans="1:16" x14ac:dyDescent="0.25">
      <c r="A2111" s="1"/>
    </row>
    <row r="2112" spans="1:16" x14ac:dyDescent="0.25">
      <c r="A2112" s="1"/>
      <c r="P2112" s="9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6" x14ac:dyDescent="0.25">
      <c r="A2241" s="1"/>
    </row>
    <row r="2242" spans="1:16" x14ac:dyDescent="0.25">
      <c r="A2242" s="1"/>
    </row>
    <row r="2243" spans="1:16" x14ac:dyDescent="0.25">
      <c r="A2243" s="1"/>
    </row>
    <row r="2244" spans="1:16" x14ac:dyDescent="0.25">
      <c r="A2244" s="1"/>
    </row>
    <row r="2245" spans="1:16" x14ac:dyDescent="0.25">
      <c r="A2245" s="1"/>
    </row>
    <row r="2246" spans="1:16" x14ac:dyDescent="0.25">
      <c r="A2246" s="1"/>
      <c r="P2246" s="9"/>
    </row>
    <row r="2247" spans="1:16" x14ac:dyDescent="0.25">
      <c r="A2247" s="1"/>
    </row>
    <row r="2248" spans="1:16" x14ac:dyDescent="0.25">
      <c r="A2248" s="1"/>
      <c r="P2248" s="9"/>
    </row>
    <row r="2249" spans="1:16" x14ac:dyDescent="0.25">
      <c r="A2249" s="1"/>
    </row>
    <row r="2250" spans="1:16" x14ac:dyDescent="0.25">
      <c r="A2250" s="1"/>
    </row>
    <row r="2251" spans="1:16" x14ac:dyDescent="0.25">
      <c r="A2251" s="1"/>
    </row>
    <row r="2252" spans="1:16" x14ac:dyDescent="0.25">
      <c r="A2252" s="1"/>
    </row>
    <row r="2253" spans="1:16" x14ac:dyDescent="0.25">
      <c r="A2253" s="1"/>
    </row>
    <row r="2254" spans="1:16" x14ac:dyDescent="0.25">
      <c r="A2254" s="1"/>
    </row>
    <row r="2255" spans="1:16" x14ac:dyDescent="0.25">
      <c r="A2255" s="1"/>
    </row>
    <row r="2256" spans="1:16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6" x14ac:dyDescent="0.25">
      <c r="A2369" s="1"/>
    </row>
    <row r="2370" spans="1:16" x14ac:dyDescent="0.25">
      <c r="A2370" s="1"/>
    </row>
    <row r="2371" spans="1:16" x14ac:dyDescent="0.25">
      <c r="A2371" s="1"/>
    </row>
    <row r="2372" spans="1:16" x14ac:dyDescent="0.25">
      <c r="A2372" s="1"/>
    </row>
    <row r="2373" spans="1:16" x14ac:dyDescent="0.25">
      <c r="A2373" s="1"/>
    </row>
    <row r="2374" spans="1:16" x14ac:dyDescent="0.25">
      <c r="A2374" s="1"/>
    </row>
    <row r="2375" spans="1:16" x14ac:dyDescent="0.25">
      <c r="A2375" s="1"/>
    </row>
    <row r="2376" spans="1:16" x14ac:dyDescent="0.25">
      <c r="A2376" s="1"/>
    </row>
    <row r="2377" spans="1:16" x14ac:dyDescent="0.25">
      <c r="A2377" s="1"/>
    </row>
    <row r="2378" spans="1:16" x14ac:dyDescent="0.25">
      <c r="A2378" s="1"/>
    </row>
    <row r="2379" spans="1:16" x14ac:dyDescent="0.25">
      <c r="A2379" s="1"/>
    </row>
    <row r="2380" spans="1:16" x14ac:dyDescent="0.25">
      <c r="A2380" s="1"/>
    </row>
    <row r="2381" spans="1:16" x14ac:dyDescent="0.25">
      <c r="A2381" s="1"/>
    </row>
    <row r="2382" spans="1:16" x14ac:dyDescent="0.25">
      <c r="A2382" s="1"/>
      <c r="P2382" s="9"/>
    </row>
    <row r="2383" spans="1:16" x14ac:dyDescent="0.25">
      <c r="A2383" s="1"/>
    </row>
    <row r="2384" spans="1:16" x14ac:dyDescent="0.25">
      <c r="A2384" s="1"/>
      <c r="P2384" s="9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6" x14ac:dyDescent="0.25">
      <c r="A2513" s="1"/>
    </row>
    <row r="2514" spans="1:16" x14ac:dyDescent="0.25">
      <c r="A2514" s="1"/>
    </row>
    <row r="2515" spans="1:16" x14ac:dyDescent="0.25">
      <c r="A2515" s="1"/>
    </row>
    <row r="2516" spans="1:16" x14ac:dyDescent="0.25">
      <c r="A2516" s="1"/>
    </row>
    <row r="2517" spans="1:16" x14ac:dyDescent="0.25">
      <c r="A2517" s="1"/>
    </row>
    <row r="2518" spans="1:16" x14ac:dyDescent="0.25">
      <c r="A2518" s="1"/>
      <c r="P2518" s="9"/>
    </row>
    <row r="2519" spans="1:16" x14ac:dyDescent="0.25">
      <c r="A2519" s="1"/>
    </row>
    <row r="2520" spans="1:16" x14ac:dyDescent="0.25">
      <c r="A2520" s="1"/>
      <c r="P2520" s="9"/>
    </row>
    <row r="2521" spans="1:16" x14ac:dyDescent="0.25">
      <c r="A2521" s="1"/>
    </row>
    <row r="2522" spans="1:16" x14ac:dyDescent="0.25">
      <c r="A2522" s="1"/>
    </row>
    <row r="2523" spans="1:16" x14ac:dyDescent="0.25">
      <c r="A2523" s="1"/>
    </row>
    <row r="2524" spans="1:16" x14ac:dyDescent="0.25">
      <c r="A2524" s="1"/>
    </row>
    <row r="2525" spans="1:16" x14ac:dyDescent="0.25">
      <c r="A2525" s="1"/>
    </row>
    <row r="2526" spans="1:16" x14ac:dyDescent="0.25">
      <c r="A2526" s="1"/>
    </row>
    <row r="2527" spans="1:16" x14ac:dyDescent="0.25">
      <c r="A2527" s="1"/>
    </row>
    <row r="2528" spans="1:16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6" x14ac:dyDescent="0.25">
      <c r="A2641" s="1"/>
    </row>
    <row r="2642" spans="1:16" x14ac:dyDescent="0.25">
      <c r="A2642" s="1"/>
    </row>
    <row r="2643" spans="1:16" x14ac:dyDescent="0.25">
      <c r="A2643" s="1"/>
    </row>
    <row r="2644" spans="1:16" x14ac:dyDescent="0.25">
      <c r="A2644" s="1"/>
    </row>
    <row r="2645" spans="1:16" x14ac:dyDescent="0.25">
      <c r="A2645" s="1"/>
    </row>
    <row r="2646" spans="1:16" x14ac:dyDescent="0.25">
      <c r="A2646" s="1"/>
    </row>
    <row r="2647" spans="1:16" x14ac:dyDescent="0.25">
      <c r="A2647" s="1"/>
    </row>
    <row r="2648" spans="1:16" x14ac:dyDescent="0.25">
      <c r="A2648" s="1"/>
    </row>
    <row r="2649" spans="1:16" x14ac:dyDescent="0.25">
      <c r="A2649" s="1"/>
    </row>
    <row r="2650" spans="1:16" x14ac:dyDescent="0.25">
      <c r="A2650" s="1"/>
    </row>
    <row r="2651" spans="1:16" x14ac:dyDescent="0.25">
      <c r="A2651" s="1"/>
    </row>
    <row r="2652" spans="1:16" x14ac:dyDescent="0.25">
      <c r="A2652" s="1"/>
    </row>
    <row r="2653" spans="1:16" x14ac:dyDescent="0.25">
      <c r="A2653" s="1"/>
    </row>
    <row r="2654" spans="1:16" x14ac:dyDescent="0.25">
      <c r="A2654" s="1"/>
      <c r="P2654" s="9"/>
    </row>
    <row r="2655" spans="1:16" x14ac:dyDescent="0.25">
      <c r="A2655" s="1"/>
    </row>
    <row r="2656" spans="1:16" x14ac:dyDescent="0.25">
      <c r="A2656" s="1"/>
      <c r="P2656" s="9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6" x14ac:dyDescent="0.25">
      <c r="A2785" s="1"/>
    </row>
    <row r="2786" spans="1:16" x14ac:dyDescent="0.25">
      <c r="A2786" s="1"/>
    </row>
    <row r="2787" spans="1:16" x14ac:dyDescent="0.25">
      <c r="A2787" s="1"/>
    </row>
    <row r="2788" spans="1:16" x14ac:dyDescent="0.25">
      <c r="A2788" s="1"/>
    </row>
    <row r="2789" spans="1:16" x14ac:dyDescent="0.25">
      <c r="A2789" s="1"/>
    </row>
    <row r="2790" spans="1:16" x14ac:dyDescent="0.25">
      <c r="A2790" s="1"/>
      <c r="P2790" s="9"/>
    </row>
    <row r="2791" spans="1:16" x14ac:dyDescent="0.25">
      <c r="A2791" s="1"/>
    </row>
    <row r="2792" spans="1:16" x14ac:dyDescent="0.25">
      <c r="A2792" s="1"/>
      <c r="P2792" s="9"/>
    </row>
    <row r="2793" spans="1:16" x14ac:dyDescent="0.25">
      <c r="A2793" s="1"/>
    </row>
    <row r="2794" spans="1:16" x14ac:dyDescent="0.25">
      <c r="A2794" s="1"/>
    </row>
    <row r="2795" spans="1:16" x14ac:dyDescent="0.25">
      <c r="A2795" s="1"/>
    </row>
    <row r="2796" spans="1:16" x14ac:dyDescent="0.25">
      <c r="A2796" s="1"/>
    </row>
    <row r="2797" spans="1:16" x14ac:dyDescent="0.25">
      <c r="A2797" s="1"/>
    </row>
    <row r="2798" spans="1:16" x14ac:dyDescent="0.25">
      <c r="A2798" s="1"/>
    </row>
    <row r="2799" spans="1:16" x14ac:dyDescent="0.25">
      <c r="A2799" s="1"/>
    </row>
    <row r="2800" spans="1:16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6" x14ac:dyDescent="0.25">
      <c r="A2913" s="1"/>
    </row>
    <row r="2914" spans="1:16" x14ac:dyDescent="0.25">
      <c r="A2914" s="1"/>
    </row>
    <row r="2915" spans="1:16" x14ac:dyDescent="0.25">
      <c r="A2915" s="1"/>
    </row>
    <row r="2916" spans="1:16" x14ac:dyDescent="0.25">
      <c r="A2916" s="1"/>
    </row>
    <row r="2917" spans="1:16" x14ac:dyDescent="0.25">
      <c r="A2917" s="1"/>
    </row>
    <row r="2918" spans="1:16" x14ac:dyDescent="0.25">
      <c r="A2918" s="1"/>
    </row>
    <row r="2919" spans="1:16" x14ac:dyDescent="0.25">
      <c r="A2919" s="1"/>
    </row>
    <row r="2920" spans="1:16" x14ac:dyDescent="0.25">
      <c r="A2920" s="1"/>
    </row>
    <row r="2921" spans="1:16" x14ac:dyDescent="0.25">
      <c r="A2921" s="1"/>
    </row>
    <row r="2922" spans="1:16" x14ac:dyDescent="0.25">
      <c r="A2922" s="1"/>
    </row>
    <row r="2923" spans="1:16" x14ac:dyDescent="0.25">
      <c r="A2923" s="1"/>
    </row>
    <row r="2924" spans="1:16" x14ac:dyDescent="0.25">
      <c r="A2924" s="1"/>
    </row>
    <row r="2925" spans="1:16" x14ac:dyDescent="0.25">
      <c r="A2925" s="1"/>
    </row>
    <row r="2926" spans="1:16" x14ac:dyDescent="0.25">
      <c r="A2926" s="1"/>
      <c r="P2926" s="9"/>
    </row>
    <row r="2927" spans="1:16" x14ac:dyDescent="0.25">
      <c r="A2927" s="1"/>
    </row>
    <row r="2928" spans="1:16" x14ac:dyDescent="0.25">
      <c r="A2928" s="1"/>
      <c r="P2928" s="9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6" x14ac:dyDescent="0.25">
      <c r="A3057" s="1"/>
    </row>
    <row r="3058" spans="1:16" x14ac:dyDescent="0.25">
      <c r="A3058" s="1"/>
    </row>
    <row r="3059" spans="1:16" x14ac:dyDescent="0.25">
      <c r="A3059" s="1"/>
    </row>
    <row r="3060" spans="1:16" x14ac:dyDescent="0.25">
      <c r="A3060" s="1"/>
    </row>
    <row r="3061" spans="1:16" x14ac:dyDescent="0.25">
      <c r="A3061" s="1"/>
    </row>
    <row r="3062" spans="1:16" x14ac:dyDescent="0.25">
      <c r="A3062" s="1"/>
      <c r="P3062" s="9"/>
    </row>
    <row r="3063" spans="1:16" x14ac:dyDescent="0.25">
      <c r="A3063" s="1"/>
    </row>
    <row r="3064" spans="1:16" x14ac:dyDescent="0.25">
      <c r="A3064" s="1"/>
      <c r="P3064" s="9"/>
    </row>
    <row r="3065" spans="1:16" x14ac:dyDescent="0.25">
      <c r="A3065" s="1"/>
    </row>
    <row r="3066" spans="1:16" x14ac:dyDescent="0.25">
      <c r="A3066" s="1"/>
    </row>
    <row r="3067" spans="1:16" x14ac:dyDescent="0.25">
      <c r="A3067" s="1"/>
    </row>
    <row r="3068" spans="1:16" x14ac:dyDescent="0.25">
      <c r="A3068" s="1"/>
    </row>
    <row r="3069" spans="1:16" x14ac:dyDescent="0.25">
      <c r="A3069" s="1"/>
    </row>
    <row r="3070" spans="1:16" x14ac:dyDescent="0.25">
      <c r="A3070" s="1"/>
    </row>
    <row r="3071" spans="1:16" x14ac:dyDescent="0.25">
      <c r="A3071" s="1"/>
    </row>
    <row r="3072" spans="1:16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6" x14ac:dyDescent="0.25">
      <c r="A3185" s="1"/>
    </row>
    <row r="3186" spans="1:16" x14ac:dyDescent="0.25">
      <c r="A3186" s="1"/>
    </row>
    <row r="3187" spans="1:16" x14ac:dyDescent="0.25">
      <c r="A3187" s="1"/>
    </row>
    <row r="3188" spans="1:16" x14ac:dyDescent="0.25">
      <c r="A3188" s="1"/>
    </row>
    <row r="3189" spans="1:16" x14ac:dyDescent="0.25">
      <c r="A3189" s="1"/>
    </row>
    <row r="3190" spans="1:16" x14ac:dyDescent="0.25">
      <c r="A3190" s="1"/>
    </row>
    <row r="3191" spans="1:16" x14ac:dyDescent="0.25">
      <c r="A3191" s="1"/>
    </row>
    <row r="3192" spans="1:16" x14ac:dyDescent="0.25">
      <c r="A3192" s="1"/>
    </row>
    <row r="3193" spans="1:16" x14ac:dyDescent="0.25">
      <c r="A3193" s="1"/>
    </row>
    <row r="3194" spans="1:16" x14ac:dyDescent="0.25">
      <c r="A3194" s="1"/>
    </row>
    <row r="3195" spans="1:16" x14ac:dyDescent="0.25">
      <c r="A3195" s="1"/>
    </row>
    <row r="3196" spans="1:16" x14ac:dyDescent="0.25">
      <c r="A3196" s="1"/>
    </row>
    <row r="3197" spans="1:16" x14ac:dyDescent="0.25">
      <c r="A3197" s="1"/>
    </row>
    <row r="3198" spans="1:16" x14ac:dyDescent="0.25">
      <c r="A3198" s="1"/>
      <c r="P3198" s="9"/>
    </row>
    <row r="3199" spans="1:16" x14ac:dyDescent="0.25">
      <c r="A3199" s="1"/>
    </row>
    <row r="3200" spans="1:16" x14ac:dyDescent="0.25">
      <c r="A3200" s="1"/>
      <c r="P3200" s="9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6" x14ac:dyDescent="0.25">
      <c r="A3329" s="1"/>
    </row>
    <row r="3330" spans="1:16" x14ac:dyDescent="0.25">
      <c r="A3330" s="1"/>
    </row>
    <row r="3331" spans="1:16" x14ac:dyDescent="0.25">
      <c r="A3331" s="1"/>
    </row>
    <row r="3332" spans="1:16" x14ac:dyDescent="0.25">
      <c r="A3332" s="1"/>
    </row>
    <row r="3333" spans="1:16" x14ac:dyDescent="0.25">
      <c r="A3333" s="1"/>
    </row>
    <row r="3334" spans="1:16" x14ac:dyDescent="0.25">
      <c r="A3334" s="1"/>
      <c r="P3334" s="9"/>
    </row>
    <row r="3335" spans="1:16" x14ac:dyDescent="0.25">
      <c r="A3335" s="1"/>
    </row>
    <row r="3336" spans="1:16" x14ac:dyDescent="0.25">
      <c r="A3336" s="1"/>
      <c r="P3336" s="9"/>
    </row>
    <row r="3337" spans="1:16" x14ac:dyDescent="0.25">
      <c r="A3337" s="1"/>
    </row>
    <row r="3338" spans="1:16" x14ac:dyDescent="0.25">
      <c r="A3338" s="1"/>
    </row>
    <row r="3339" spans="1:16" x14ac:dyDescent="0.25">
      <c r="A3339" s="1"/>
    </row>
    <row r="3340" spans="1:16" x14ac:dyDescent="0.25">
      <c r="A3340" s="1"/>
    </row>
    <row r="3341" spans="1:16" x14ac:dyDescent="0.25">
      <c r="A3341" s="1"/>
    </row>
    <row r="3342" spans="1:16" x14ac:dyDescent="0.25">
      <c r="A3342" s="1"/>
    </row>
    <row r="3343" spans="1:16" x14ac:dyDescent="0.25">
      <c r="A3343" s="1"/>
    </row>
    <row r="3344" spans="1:16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6" x14ac:dyDescent="0.25">
      <c r="A3457" s="1"/>
    </row>
    <row r="3458" spans="1:16" x14ac:dyDescent="0.25">
      <c r="A3458" s="1"/>
    </row>
    <row r="3459" spans="1:16" x14ac:dyDescent="0.25">
      <c r="A3459" s="1"/>
    </row>
    <row r="3460" spans="1:16" x14ac:dyDescent="0.25">
      <c r="A3460" s="1"/>
    </row>
    <row r="3461" spans="1:16" x14ac:dyDescent="0.25">
      <c r="A3461" s="1"/>
    </row>
    <row r="3462" spans="1:16" x14ac:dyDescent="0.25">
      <c r="A3462" s="1"/>
    </row>
    <row r="3463" spans="1:16" x14ac:dyDescent="0.25">
      <c r="A3463" s="1"/>
    </row>
    <row r="3464" spans="1:16" x14ac:dyDescent="0.25">
      <c r="A3464" s="1"/>
    </row>
    <row r="3465" spans="1:16" x14ac:dyDescent="0.25">
      <c r="A3465" s="1"/>
    </row>
    <row r="3466" spans="1:16" x14ac:dyDescent="0.25">
      <c r="A3466" s="1"/>
    </row>
    <row r="3467" spans="1:16" x14ac:dyDescent="0.25">
      <c r="A3467" s="1"/>
    </row>
    <row r="3468" spans="1:16" x14ac:dyDescent="0.25">
      <c r="A3468" s="1"/>
    </row>
    <row r="3469" spans="1:16" x14ac:dyDescent="0.25">
      <c r="A3469" s="1"/>
      <c r="P3469" s="9"/>
    </row>
    <row r="3470" spans="1:16" x14ac:dyDescent="0.25">
      <c r="A3470" s="1"/>
    </row>
    <row r="3471" spans="1:16" x14ac:dyDescent="0.25">
      <c r="A3471" s="1"/>
      <c r="P3471" s="9"/>
    </row>
    <row r="3472" spans="1:16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6" x14ac:dyDescent="0.25">
      <c r="A3601" s="1"/>
    </row>
    <row r="3602" spans="1:16" x14ac:dyDescent="0.25">
      <c r="A3602" s="1"/>
    </row>
    <row r="3603" spans="1:16" x14ac:dyDescent="0.25">
      <c r="A3603" s="1"/>
    </row>
    <row r="3604" spans="1:16" x14ac:dyDescent="0.25">
      <c r="A3604" s="1"/>
      <c r="P3604" s="9"/>
    </row>
    <row r="3605" spans="1:16" x14ac:dyDescent="0.25">
      <c r="A3605" s="1"/>
    </row>
    <row r="3606" spans="1:16" x14ac:dyDescent="0.25">
      <c r="A3606" s="1"/>
      <c r="P3606" s="9"/>
    </row>
    <row r="3607" spans="1:16" x14ac:dyDescent="0.25">
      <c r="A3607" s="1"/>
    </row>
    <row r="3608" spans="1:16" x14ac:dyDescent="0.25">
      <c r="A3608" s="1"/>
    </row>
    <row r="3609" spans="1:16" x14ac:dyDescent="0.25">
      <c r="A3609" s="1"/>
    </row>
    <row r="3610" spans="1:16" x14ac:dyDescent="0.25">
      <c r="A3610" s="1"/>
    </row>
    <row r="3611" spans="1:16" x14ac:dyDescent="0.25">
      <c r="A3611" s="1"/>
    </row>
    <row r="3612" spans="1:16" x14ac:dyDescent="0.25">
      <c r="A3612" s="1"/>
    </row>
    <row r="3613" spans="1:16" x14ac:dyDescent="0.25">
      <c r="A3613" s="1"/>
    </row>
    <row r="3614" spans="1:16" x14ac:dyDescent="0.25">
      <c r="A3614" s="1"/>
    </row>
    <row r="3615" spans="1:16" x14ac:dyDescent="0.25">
      <c r="A3615" s="1"/>
    </row>
    <row r="3616" spans="1:16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6" x14ac:dyDescent="0.25">
      <c r="A3633" s="1"/>
    </row>
    <row r="3634" spans="1:16" x14ac:dyDescent="0.25">
      <c r="A3634" s="1"/>
    </row>
    <row r="3635" spans="1:16" x14ac:dyDescent="0.25">
      <c r="A3635" s="1"/>
    </row>
    <row r="3636" spans="1:16" x14ac:dyDescent="0.25">
      <c r="A3636" s="1"/>
    </row>
    <row r="3637" spans="1:16" x14ac:dyDescent="0.25">
      <c r="A3637" s="1"/>
    </row>
    <row r="3638" spans="1:16" x14ac:dyDescent="0.25">
      <c r="A3638" s="1"/>
    </row>
    <row r="3639" spans="1:16" x14ac:dyDescent="0.25">
      <c r="A3639" s="1"/>
    </row>
    <row r="3640" spans="1:16" x14ac:dyDescent="0.25">
      <c r="A3640" s="1"/>
    </row>
    <row r="3641" spans="1:16" x14ac:dyDescent="0.25">
      <c r="A3641" s="1"/>
    </row>
    <row r="3642" spans="1:16" x14ac:dyDescent="0.25">
      <c r="A3642" s="1"/>
    </row>
    <row r="3643" spans="1:16" x14ac:dyDescent="0.25">
      <c r="A3643" s="1"/>
      <c r="P3643" s="9"/>
    </row>
    <row r="3644" spans="1:16" x14ac:dyDescent="0.25">
      <c r="A3644" s="1"/>
    </row>
    <row r="3645" spans="1:16" x14ac:dyDescent="0.25">
      <c r="A3645" s="1"/>
      <c r="P3645" s="9"/>
    </row>
    <row r="3646" spans="1:16" x14ac:dyDescent="0.25">
      <c r="A3646" s="1"/>
    </row>
    <row r="3647" spans="1:16" x14ac:dyDescent="0.25">
      <c r="A3647" s="1"/>
    </row>
    <row r="3648" spans="1:16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6" x14ac:dyDescent="0.25">
      <c r="A3665" s="1"/>
    </row>
    <row r="3666" spans="1:16" x14ac:dyDescent="0.25">
      <c r="A3666" s="1"/>
    </row>
    <row r="3667" spans="1:16" x14ac:dyDescent="0.25">
      <c r="A3667" s="1"/>
    </row>
    <row r="3668" spans="1:16" x14ac:dyDescent="0.25">
      <c r="A3668" s="1"/>
    </row>
    <row r="3669" spans="1:16" x14ac:dyDescent="0.25">
      <c r="A3669" s="1"/>
    </row>
    <row r="3670" spans="1:16" x14ac:dyDescent="0.25">
      <c r="A3670" s="1"/>
    </row>
    <row r="3671" spans="1:16" x14ac:dyDescent="0.25">
      <c r="A3671" s="1"/>
      <c r="P3671" s="9"/>
    </row>
    <row r="3672" spans="1:16" x14ac:dyDescent="0.25">
      <c r="A3672" s="1"/>
    </row>
    <row r="3673" spans="1:16" x14ac:dyDescent="0.25">
      <c r="A3673" s="1"/>
      <c r="P3673" s="9"/>
    </row>
    <row r="3674" spans="1:16" x14ac:dyDescent="0.25">
      <c r="A3674" s="1"/>
    </row>
    <row r="3675" spans="1:16" x14ac:dyDescent="0.25">
      <c r="A3675" s="1"/>
    </row>
    <row r="3676" spans="1:16" x14ac:dyDescent="0.25">
      <c r="A3676" s="1"/>
    </row>
    <row r="3677" spans="1:16" x14ac:dyDescent="0.25">
      <c r="A3677" s="1"/>
    </row>
    <row r="3678" spans="1:16" x14ac:dyDescent="0.25">
      <c r="A3678" s="1"/>
    </row>
    <row r="3679" spans="1:16" x14ac:dyDescent="0.25">
      <c r="A3679" s="1"/>
    </row>
    <row r="3680" spans="1:16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6" x14ac:dyDescent="0.25">
      <c r="A3697" s="1"/>
    </row>
    <row r="3698" spans="1:16" x14ac:dyDescent="0.25">
      <c r="A3698" s="1"/>
    </row>
    <row r="3699" spans="1:16" x14ac:dyDescent="0.25">
      <c r="A3699" s="1"/>
      <c r="P3699" s="9"/>
    </row>
    <row r="3700" spans="1:16" x14ac:dyDescent="0.25">
      <c r="A3700" s="1"/>
    </row>
    <row r="3701" spans="1:16" x14ac:dyDescent="0.25">
      <c r="A3701" s="1"/>
      <c r="P3701" s="9"/>
    </row>
    <row r="3702" spans="1:16" x14ac:dyDescent="0.25">
      <c r="A3702" s="1"/>
    </row>
    <row r="3703" spans="1:16" x14ac:dyDescent="0.25">
      <c r="A3703" s="1"/>
    </row>
    <row r="3704" spans="1:16" x14ac:dyDescent="0.25">
      <c r="A3704" s="1"/>
    </row>
    <row r="3705" spans="1:16" x14ac:dyDescent="0.25">
      <c r="A3705" s="1"/>
    </row>
    <row r="3706" spans="1:16" x14ac:dyDescent="0.25">
      <c r="A3706" s="1"/>
    </row>
    <row r="3707" spans="1:16" x14ac:dyDescent="0.25">
      <c r="A3707" s="1"/>
    </row>
    <row r="3708" spans="1:16" x14ac:dyDescent="0.25">
      <c r="A3708" s="1"/>
    </row>
    <row r="3709" spans="1:16" x14ac:dyDescent="0.25">
      <c r="A3709" s="1"/>
    </row>
    <row r="3710" spans="1:16" x14ac:dyDescent="0.25">
      <c r="A3710" s="1"/>
    </row>
    <row r="3711" spans="1:16" x14ac:dyDescent="0.25">
      <c r="A3711" s="1"/>
    </row>
    <row r="3712" spans="1:16" x14ac:dyDescent="0.25">
      <c r="A3712" s="1"/>
    </row>
    <row r="3713" spans="1:16" x14ac:dyDescent="0.25">
      <c r="A3713" s="1"/>
    </row>
    <row r="3714" spans="1:16" x14ac:dyDescent="0.25">
      <c r="A3714" s="1"/>
    </row>
    <row r="3715" spans="1:16" x14ac:dyDescent="0.25">
      <c r="A3715" s="1"/>
    </row>
    <row r="3716" spans="1:16" x14ac:dyDescent="0.25">
      <c r="A3716" s="1"/>
    </row>
    <row r="3717" spans="1:16" x14ac:dyDescent="0.25">
      <c r="A3717" s="1"/>
    </row>
    <row r="3718" spans="1:16" x14ac:dyDescent="0.25">
      <c r="A3718" s="1"/>
    </row>
    <row r="3719" spans="1:16" x14ac:dyDescent="0.25">
      <c r="A3719" s="1"/>
    </row>
    <row r="3720" spans="1:16" x14ac:dyDescent="0.25">
      <c r="A3720" s="1"/>
    </row>
    <row r="3721" spans="1:16" x14ac:dyDescent="0.25">
      <c r="A3721" s="1"/>
    </row>
    <row r="3722" spans="1:16" x14ac:dyDescent="0.25">
      <c r="A3722" s="1"/>
    </row>
    <row r="3723" spans="1:16" x14ac:dyDescent="0.25">
      <c r="A3723" s="1"/>
    </row>
    <row r="3724" spans="1:16" x14ac:dyDescent="0.25">
      <c r="A3724" s="1"/>
    </row>
    <row r="3725" spans="1:16" x14ac:dyDescent="0.25">
      <c r="A3725" s="1"/>
    </row>
    <row r="3726" spans="1:16" x14ac:dyDescent="0.25">
      <c r="A3726" s="1"/>
    </row>
    <row r="3727" spans="1:16" x14ac:dyDescent="0.25">
      <c r="A3727" s="1"/>
      <c r="P3727" s="9"/>
    </row>
    <row r="3728" spans="1:16" x14ac:dyDescent="0.25">
      <c r="A3728" s="1"/>
    </row>
    <row r="3729" spans="1:16" x14ac:dyDescent="0.25">
      <c r="A3729" s="1"/>
      <c r="P3729" s="9"/>
    </row>
    <row r="3730" spans="1:16" x14ac:dyDescent="0.25">
      <c r="A3730" s="1"/>
    </row>
    <row r="3731" spans="1:16" x14ac:dyDescent="0.25">
      <c r="A3731" s="1"/>
    </row>
    <row r="3732" spans="1:16" x14ac:dyDescent="0.25">
      <c r="A3732" s="1"/>
    </row>
    <row r="3733" spans="1:16" x14ac:dyDescent="0.25">
      <c r="A3733" s="1"/>
    </row>
    <row r="3734" spans="1:16" x14ac:dyDescent="0.25">
      <c r="A3734" s="1"/>
    </row>
    <row r="3735" spans="1:16" x14ac:dyDescent="0.25">
      <c r="A3735" s="1"/>
    </row>
    <row r="3736" spans="1:16" x14ac:dyDescent="0.25">
      <c r="A3736" s="1"/>
    </row>
    <row r="3737" spans="1:16" x14ac:dyDescent="0.25">
      <c r="A3737" s="1"/>
    </row>
    <row r="3738" spans="1:16" x14ac:dyDescent="0.25">
      <c r="A3738" s="1"/>
    </row>
    <row r="3739" spans="1:16" x14ac:dyDescent="0.25">
      <c r="A3739" s="1"/>
    </row>
    <row r="3740" spans="1:16" x14ac:dyDescent="0.25">
      <c r="A3740" s="1"/>
    </row>
    <row r="3741" spans="1:16" x14ac:dyDescent="0.25">
      <c r="A3741" s="1"/>
    </row>
    <row r="3742" spans="1:16" x14ac:dyDescent="0.25">
      <c r="A3742" s="1"/>
    </row>
    <row r="3743" spans="1:16" x14ac:dyDescent="0.25">
      <c r="A3743" s="1"/>
    </row>
    <row r="3744" spans="1:16" x14ac:dyDescent="0.25">
      <c r="A3744" s="1"/>
    </row>
    <row r="3745" spans="1:16" x14ac:dyDescent="0.25">
      <c r="A3745" s="1"/>
    </row>
    <row r="3746" spans="1:16" x14ac:dyDescent="0.25">
      <c r="A3746" s="1"/>
    </row>
    <row r="3747" spans="1:16" x14ac:dyDescent="0.25">
      <c r="A3747" s="1"/>
    </row>
    <row r="3748" spans="1:16" x14ac:dyDescent="0.25">
      <c r="A3748" s="1"/>
    </row>
    <row r="3749" spans="1:16" x14ac:dyDescent="0.25">
      <c r="A3749" s="1"/>
    </row>
    <row r="3750" spans="1:16" x14ac:dyDescent="0.25">
      <c r="A3750" s="1"/>
    </row>
    <row r="3751" spans="1:16" x14ac:dyDescent="0.25">
      <c r="A3751" s="1"/>
    </row>
    <row r="3752" spans="1:16" x14ac:dyDescent="0.25">
      <c r="A3752" s="1"/>
    </row>
    <row r="3753" spans="1:16" x14ac:dyDescent="0.25">
      <c r="A3753" s="1"/>
    </row>
    <row r="3754" spans="1:16" x14ac:dyDescent="0.25">
      <c r="A3754" s="1"/>
    </row>
    <row r="3755" spans="1:16" x14ac:dyDescent="0.25">
      <c r="A3755" s="1"/>
      <c r="P3755" s="9"/>
    </row>
    <row r="3756" spans="1:16" x14ac:dyDescent="0.25">
      <c r="A3756" s="1"/>
    </row>
    <row r="3757" spans="1:16" x14ac:dyDescent="0.25">
      <c r="A3757" s="1"/>
      <c r="P3757" s="9"/>
    </row>
    <row r="3758" spans="1:16" x14ac:dyDescent="0.25">
      <c r="A3758" s="1"/>
    </row>
    <row r="3759" spans="1:16" x14ac:dyDescent="0.25">
      <c r="A3759" s="1"/>
    </row>
    <row r="3760" spans="1:16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6" x14ac:dyDescent="0.25">
      <c r="A3777" s="1"/>
    </row>
    <row r="3778" spans="1:16" x14ac:dyDescent="0.25">
      <c r="A3778" s="1"/>
    </row>
    <row r="3779" spans="1:16" x14ac:dyDescent="0.25">
      <c r="A3779" s="1"/>
    </row>
    <row r="3780" spans="1:16" x14ac:dyDescent="0.25">
      <c r="A3780" s="1"/>
    </row>
    <row r="3781" spans="1:16" x14ac:dyDescent="0.25">
      <c r="A3781" s="1"/>
    </row>
    <row r="3782" spans="1:16" x14ac:dyDescent="0.25">
      <c r="A3782" s="1"/>
    </row>
    <row r="3783" spans="1:16" x14ac:dyDescent="0.25">
      <c r="A3783" s="1"/>
      <c r="P3783" s="9"/>
    </row>
    <row r="3784" spans="1:16" x14ac:dyDescent="0.25">
      <c r="A3784" s="1"/>
    </row>
    <row r="3785" spans="1:16" x14ac:dyDescent="0.25">
      <c r="A3785" s="1"/>
      <c r="P3785" s="9"/>
    </row>
    <row r="3786" spans="1:16" x14ac:dyDescent="0.25">
      <c r="A3786" s="1"/>
    </row>
    <row r="3787" spans="1:16" x14ac:dyDescent="0.25">
      <c r="A3787" s="1"/>
    </row>
    <row r="3788" spans="1:16" x14ac:dyDescent="0.25">
      <c r="A3788" s="1"/>
    </row>
    <row r="3789" spans="1:16" x14ac:dyDescent="0.25">
      <c r="A3789" s="1"/>
    </row>
    <row r="3790" spans="1:16" x14ac:dyDescent="0.25">
      <c r="A3790" s="1"/>
    </row>
    <row r="3791" spans="1:16" x14ac:dyDescent="0.25">
      <c r="A3791" s="1"/>
    </row>
    <row r="3792" spans="1:16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6" x14ac:dyDescent="0.25">
      <c r="A3809" s="1"/>
    </row>
    <row r="3810" spans="1:16" x14ac:dyDescent="0.25">
      <c r="A3810" s="1"/>
    </row>
    <row r="3811" spans="1:16" x14ac:dyDescent="0.25">
      <c r="A3811" s="1"/>
      <c r="P3811" s="9"/>
    </row>
    <row r="3812" spans="1:16" x14ac:dyDescent="0.25">
      <c r="A3812" s="1"/>
    </row>
    <row r="3813" spans="1:16" x14ac:dyDescent="0.25">
      <c r="A3813" s="1"/>
      <c r="P3813" s="9"/>
    </row>
    <row r="3814" spans="1:16" x14ac:dyDescent="0.25">
      <c r="A3814" s="1"/>
    </row>
    <row r="3815" spans="1:16" x14ac:dyDescent="0.25">
      <c r="A3815" s="1"/>
    </row>
    <row r="3816" spans="1:16" x14ac:dyDescent="0.25">
      <c r="A3816" s="1"/>
    </row>
    <row r="3817" spans="1:16" x14ac:dyDescent="0.25">
      <c r="A3817" s="1"/>
    </row>
    <row r="3818" spans="1:16" x14ac:dyDescent="0.25">
      <c r="A3818" s="1"/>
    </row>
    <row r="3819" spans="1:16" x14ac:dyDescent="0.25">
      <c r="A3819" s="1"/>
    </row>
    <row r="3820" spans="1:16" x14ac:dyDescent="0.25">
      <c r="A3820" s="1"/>
    </row>
    <row r="3821" spans="1:16" x14ac:dyDescent="0.25">
      <c r="A3821" s="1"/>
    </row>
    <row r="3822" spans="1:16" x14ac:dyDescent="0.25">
      <c r="A3822" s="1"/>
    </row>
  </sheetData>
  <autoFilter ref="A1:AQ310" xr:uid="{5CA3799E-958B-4863-A4F6-4D16EDED7A70}">
    <filterColumn colId="0">
      <filters>
        <dateGroupItem year="2026" month="5" dateTimeGrouping="month"/>
      </filters>
    </filterColumn>
    <filterColumn colId="5">
      <filters>
        <filter val="phone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D1F84-195B-4EDE-B250-52BA4ECBA8D1}">
  <sheetPr codeName="Sheet6"/>
  <dimension ref="A1:D53"/>
  <sheetViews>
    <sheetView zoomScale="145" zoomScaleNormal="145" workbookViewId="0">
      <selection activeCell="B13" sqref="B13"/>
    </sheetView>
  </sheetViews>
  <sheetFormatPr defaultRowHeight="15" x14ac:dyDescent="0.25"/>
  <cols>
    <col min="1" max="1" width="9.85546875" style="2" bestFit="1" customWidth="1"/>
    <col min="2" max="2" width="14.85546875" style="5" customWidth="1"/>
    <col min="3" max="3" width="16.28515625" style="5" bestFit="1" customWidth="1"/>
    <col min="4" max="4" width="5.7109375" bestFit="1" customWidth="1"/>
  </cols>
  <sheetData>
    <row r="1" spans="1:4" ht="30" x14ac:dyDescent="0.25">
      <c r="A1" s="2" t="s">
        <v>46</v>
      </c>
      <c r="B1" s="3" t="s">
        <v>47</v>
      </c>
      <c r="C1" t="s">
        <v>48</v>
      </c>
      <c r="D1" t="s">
        <v>49</v>
      </c>
    </row>
    <row r="2" spans="1:4" x14ac:dyDescent="0.25">
      <c r="A2" s="4">
        <v>45658</v>
      </c>
      <c r="B2" s="5">
        <v>6.92</v>
      </c>
      <c r="C2" s="5">
        <v>10</v>
      </c>
      <c r="D2">
        <v>3.08</v>
      </c>
    </row>
    <row r="3" spans="1:4" x14ac:dyDescent="0.25">
      <c r="A3" s="4">
        <v>45689</v>
      </c>
      <c r="B3" s="6">
        <v>6.39</v>
      </c>
      <c r="C3" s="6">
        <v>8</v>
      </c>
      <c r="D3" s="6">
        <f t="shared" ref="D3:D13" si="0">C3-B3</f>
        <v>1.6100000000000003</v>
      </c>
    </row>
    <row r="4" spans="1:4" x14ac:dyDescent="0.25">
      <c r="A4" s="4">
        <v>45717</v>
      </c>
      <c r="B4" s="6">
        <v>6.39</v>
      </c>
      <c r="C4" s="6">
        <v>8</v>
      </c>
      <c r="D4" s="6">
        <f t="shared" si="0"/>
        <v>1.6100000000000003</v>
      </c>
    </row>
    <row r="5" spans="1:4" x14ac:dyDescent="0.25">
      <c r="A5" s="4">
        <v>45748</v>
      </c>
      <c r="B5" s="6">
        <v>6.79</v>
      </c>
      <c r="C5" s="6">
        <v>7</v>
      </c>
      <c r="D5" s="6">
        <f t="shared" si="0"/>
        <v>0.20999999999999996</v>
      </c>
    </row>
    <row r="6" spans="1:4" x14ac:dyDescent="0.25">
      <c r="A6" s="4">
        <v>45778</v>
      </c>
      <c r="B6" s="6">
        <v>6.79</v>
      </c>
      <c r="C6" s="6">
        <v>7</v>
      </c>
      <c r="D6" s="6">
        <f t="shared" si="0"/>
        <v>0.20999999999999996</v>
      </c>
    </row>
    <row r="7" spans="1:4" x14ac:dyDescent="0.25">
      <c r="A7" s="4">
        <v>45809</v>
      </c>
      <c r="B7" s="7">
        <v>7.08</v>
      </c>
      <c r="C7" s="6">
        <v>7</v>
      </c>
      <c r="D7" s="6">
        <f t="shared" si="0"/>
        <v>-8.0000000000000071E-2</v>
      </c>
    </row>
    <row r="8" spans="1:4" x14ac:dyDescent="0.25">
      <c r="A8" s="4">
        <v>45839</v>
      </c>
      <c r="B8" s="7">
        <v>7.76</v>
      </c>
      <c r="C8" s="6">
        <v>10</v>
      </c>
      <c r="D8" s="6">
        <f t="shared" si="0"/>
        <v>2.2400000000000002</v>
      </c>
    </row>
    <row r="9" spans="1:4" x14ac:dyDescent="0.25">
      <c r="A9" s="4">
        <v>45870</v>
      </c>
      <c r="B9" s="7">
        <v>7.76</v>
      </c>
      <c r="C9" s="6">
        <v>9</v>
      </c>
      <c r="D9" s="6">
        <f t="shared" si="0"/>
        <v>1.2400000000000002</v>
      </c>
    </row>
    <row r="10" spans="1:4" x14ac:dyDescent="0.25">
      <c r="A10" s="4">
        <v>45901</v>
      </c>
      <c r="B10" s="7">
        <v>7.74</v>
      </c>
      <c r="C10" s="6">
        <v>11</v>
      </c>
      <c r="D10" s="6">
        <f t="shared" si="0"/>
        <v>3.26</v>
      </c>
    </row>
    <row r="11" spans="1:4" x14ac:dyDescent="0.25">
      <c r="A11" s="4">
        <v>45931</v>
      </c>
      <c r="B11" s="7">
        <v>7.53</v>
      </c>
      <c r="C11" s="6">
        <v>11</v>
      </c>
      <c r="D11" s="6">
        <f t="shared" si="0"/>
        <v>3.4699999999999998</v>
      </c>
    </row>
    <row r="12" spans="1:4" x14ac:dyDescent="0.25">
      <c r="A12" s="4">
        <v>45962</v>
      </c>
      <c r="B12" s="7">
        <v>7.53</v>
      </c>
      <c r="C12" s="6">
        <v>9</v>
      </c>
      <c r="D12" s="6">
        <f t="shared" si="0"/>
        <v>1.4699999999999998</v>
      </c>
    </row>
    <row r="13" spans="1:4" x14ac:dyDescent="0.25">
      <c r="A13" s="4">
        <v>45992</v>
      </c>
      <c r="B13" s="7">
        <v>7.53</v>
      </c>
      <c r="C13" s="6">
        <v>12</v>
      </c>
      <c r="D13" s="6">
        <f t="shared" si="0"/>
        <v>4.47</v>
      </c>
    </row>
    <row r="14" spans="1:4" x14ac:dyDescent="0.25">
      <c r="A14" s="4">
        <v>46023</v>
      </c>
    </row>
    <row r="15" spans="1:4" x14ac:dyDescent="0.25">
      <c r="A15" s="4">
        <v>46054</v>
      </c>
    </row>
    <row r="16" spans="1:4" x14ac:dyDescent="0.25">
      <c r="A16" s="4">
        <v>46082</v>
      </c>
    </row>
    <row r="17" spans="1:1" x14ac:dyDescent="0.25">
      <c r="A17" s="4">
        <v>46113</v>
      </c>
    </row>
    <row r="18" spans="1:1" x14ac:dyDescent="0.25">
      <c r="A18" s="4">
        <v>46143</v>
      </c>
    </row>
    <row r="19" spans="1:1" x14ac:dyDescent="0.25">
      <c r="A19" s="4">
        <v>46174</v>
      </c>
    </row>
    <row r="20" spans="1:1" x14ac:dyDescent="0.25">
      <c r="A20" s="4">
        <v>46204</v>
      </c>
    </row>
    <row r="21" spans="1:1" x14ac:dyDescent="0.25">
      <c r="A21" s="4">
        <v>46235</v>
      </c>
    </row>
    <row r="22" spans="1:1" x14ac:dyDescent="0.25">
      <c r="A22" s="4">
        <v>46266</v>
      </c>
    </row>
    <row r="23" spans="1:1" x14ac:dyDescent="0.25">
      <c r="A23" s="4">
        <v>46296</v>
      </c>
    </row>
    <row r="24" spans="1:1" x14ac:dyDescent="0.25">
      <c r="A24" s="4">
        <v>46327</v>
      </c>
    </row>
    <row r="25" spans="1:1" x14ac:dyDescent="0.25">
      <c r="A25" s="4">
        <v>46357</v>
      </c>
    </row>
    <row r="26" spans="1:1" x14ac:dyDescent="0.25">
      <c r="A26" s="4">
        <v>46388</v>
      </c>
    </row>
    <row r="27" spans="1:1" x14ac:dyDescent="0.25">
      <c r="A27" s="4">
        <v>46419</v>
      </c>
    </row>
    <row r="28" spans="1:1" x14ac:dyDescent="0.25">
      <c r="A28" s="4">
        <v>46447</v>
      </c>
    </row>
    <row r="29" spans="1:1" x14ac:dyDescent="0.25">
      <c r="A29" s="4">
        <v>46478</v>
      </c>
    </row>
    <row r="30" spans="1:1" x14ac:dyDescent="0.25">
      <c r="A30" s="4">
        <v>46508</v>
      </c>
    </row>
    <row r="31" spans="1:1" x14ac:dyDescent="0.25">
      <c r="A31" s="4">
        <v>46539</v>
      </c>
    </row>
    <row r="32" spans="1:1" x14ac:dyDescent="0.25">
      <c r="A32" s="4">
        <v>46569</v>
      </c>
    </row>
    <row r="33" spans="1:1" x14ac:dyDescent="0.25">
      <c r="A33" s="4">
        <v>46600</v>
      </c>
    </row>
    <row r="34" spans="1:1" x14ac:dyDescent="0.25">
      <c r="A34" s="4">
        <v>46631</v>
      </c>
    </row>
    <row r="35" spans="1:1" x14ac:dyDescent="0.25">
      <c r="A35" s="4">
        <v>46661</v>
      </c>
    </row>
    <row r="36" spans="1:1" x14ac:dyDescent="0.25">
      <c r="A36" s="4">
        <v>46692</v>
      </c>
    </row>
    <row r="37" spans="1:1" x14ac:dyDescent="0.25">
      <c r="A37" s="4">
        <v>46722</v>
      </c>
    </row>
    <row r="38" spans="1:1" x14ac:dyDescent="0.25">
      <c r="A38" s="4">
        <v>46753</v>
      </c>
    </row>
    <row r="39" spans="1:1" x14ac:dyDescent="0.25">
      <c r="A39" s="4">
        <v>46784</v>
      </c>
    </row>
    <row r="40" spans="1:1" x14ac:dyDescent="0.25">
      <c r="A40" s="4">
        <v>46813</v>
      </c>
    </row>
    <row r="41" spans="1:1" x14ac:dyDescent="0.25">
      <c r="A41" s="4">
        <v>46844</v>
      </c>
    </row>
    <row r="42" spans="1:1" x14ac:dyDescent="0.25">
      <c r="A42" s="4">
        <v>46874</v>
      </c>
    </row>
    <row r="43" spans="1:1" x14ac:dyDescent="0.25">
      <c r="A43" s="4">
        <v>46905</v>
      </c>
    </row>
    <row r="44" spans="1:1" x14ac:dyDescent="0.25">
      <c r="A44" s="4">
        <v>46935</v>
      </c>
    </row>
    <row r="45" spans="1:1" x14ac:dyDescent="0.25">
      <c r="A45" s="4">
        <v>46966</v>
      </c>
    </row>
    <row r="46" spans="1:1" x14ac:dyDescent="0.25">
      <c r="A46" s="4">
        <v>46997</v>
      </c>
    </row>
    <row r="47" spans="1:1" x14ac:dyDescent="0.25">
      <c r="A47" s="4">
        <v>47027</v>
      </c>
    </row>
    <row r="48" spans="1:1" x14ac:dyDescent="0.25">
      <c r="A48" s="4">
        <v>47058</v>
      </c>
    </row>
    <row r="49" spans="1:1" x14ac:dyDescent="0.25">
      <c r="A49" s="4">
        <v>47088</v>
      </c>
    </row>
    <row r="50" spans="1:1" x14ac:dyDescent="0.25">
      <c r="A50" s="4">
        <v>47119</v>
      </c>
    </row>
    <row r="51" spans="1:1" x14ac:dyDescent="0.25">
      <c r="A51" s="4">
        <v>47150</v>
      </c>
    </row>
    <row r="52" spans="1:1" x14ac:dyDescent="0.25">
      <c r="A52" s="4">
        <v>47178</v>
      </c>
    </row>
    <row r="53" spans="1:1" x14ac:dyDescent="0.25">
      <c r="A53" s="4">
        <v>47209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8BB6A-541F-4391-B05F-FDB2CEC9D330}">
  <sheetPr codeName="Sheet7" filterMode="1"/>
  <dimension ref="A1:H183"/>
  <sheetViews>
    <sheetView zoomScale="130" zoomScaleNormal="130" workbookViewId="0">
      <selection activeCell="E195" sqref="E195"/>
    </sheetView>
  </sheetViews>
  <sheetFormatPr defaultRowHeight="15" x14ac:dyDescent="0.25"/>
  <cols>
    <col min="1" max="1" width="12.85546875" bestFit="1" customWidth="1"/>
    <col min="2" max="2" width="14.140625" bestFit="1" customWidth="1"/>
    <col min="3" max="3" width="8" bestFit="1" customWidth="1"/>
    <col min="4" max="4" width="19" bestFit="1" customWidth="1"/>
    <col min="5" max="5" width="35.42578125" bestFit="1" customWidth="1"/>
    <col min="6" max="6" width="10" bestFit="1" customWidth="1"/>
    <col min="7" max="7" width="15.7109375" bestFit="1" customWidth="1"/>
    <col min="8" max="8" width="15.140625" bestFit="1" customWidth="1"/>
  </cols>
  <sheetData>
    <row r="1" spans="1:8" x14ac:dyDescent="0.25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</row>
    <row r="2" spans="1:8" hidden="1" x14ac:dyDescent="0.25">
      <c r="A2" s="1">
        <v>46082</v>
      </c>
      <c r="B2" s="1">
        <v>46083</v>
      </c>
      <c r="C2">
        <v>5002584</v>
      </c>
      <c r="D2" t="s">
        <v>58</v>
      </c>
      <c r="E2" t="s">
        <v>59</v>
      </c>
      <c r="F2" t="s">
        <v>60</v>
      </c>
      <c r="G2" t="s">
        <v>124</v>
      </c>
      <c r="H2" t="s">
        <v>62</v>
      </c>
    </row>
    <row r="3" spans="1:8" hidden="1" x14ac:dyDescent="0.25">
      <c r="A3" s="1">
        <v>46082</v>
      </c>
      <c r="B3" s="1">
        <v>46083</v>
      </c>
      <c r="C3">
        <v>75524</v>
      </c>
      <c r="D3" t="s">
        <v>63</v>
      </c>
      <c r="E3" t="s">
        <v>64</v>
      </c>
      <c r="F3" t="s">
        <v>65</v>
      </c>
      <c r="G3" t="s">
        <v>124</v>
      </c>
      <c r="H3" t="s">
        <v>66</v>
      </c>
    </row>
    <row r="4" spans="1:8" hidden="1" x14ac:dyDescent="0.25">
      <c r="A4" s="1">
        <v>46082</v>
      </c>
      <c r="B4" s="1">
        <v>46083</v>
      </c>
      <c r="C4">
        <v>54150</v>
      </c>
      <c r="D4" t="s">
        <v>67</v>
      </c>
      <c r="E4" t="s">
        <v>59</v>
      </c>
      <c r="F4" t="s">
        <v>60</v>
      </c>
      <c r="G4" t="s">
        <v>124</v>
      </c>
      <c r="H4" t="s">
        <v>63</v>
      </c>
    </row>
    <row r="5" spans="1:8" hidden="1" x14ac:dyDescent="0.25">
      <c r="A5" s="1">
        <v>46082</v>
      </c>
      <c r="B5" s="1">
        <v>46083</v>
      </c>
      <c r="C5">
        <v>4011539</v>
      </c>
      <c r="D5" t="s">
        <v>68</v>
      </c>
      <c r="E5" t="s">
        <v>69</v>
      </c>
      <c r="F5" t="s">
        <v>70</v>
      </c>
      <c r="G5" t="s">
        <v>124</v>
      </c>
      <c r="H5" t="s">
        <v>63</v>
      </c>
    </row>
    <row r="6" spans="1:8" hidden="1" x14ac:dyDescent="0.25">
      <c r="A6" s="1">
        <v>46082</v>
      </c>
      <c r="B6" s="1">
        <v>46083</v>
      </c>
      <c r="C6">
        <v>5006871</v>
      </c>
      <c r="D6" t="s">
        <v>71</v>
      </c>
      <c r="E6" t="s">
        <v>69</v>
      </c>
      <c r="F6" t="s">
        <v>70</v>
      </c>
      <c r="G6" t="s">
        <v>124</v>
      </c>
      <c r="H6" t="s">
        <v>63</v>
      </c>
    </row>
    <row r="7" spans="1:8" hidden="1" x14ac:dyDescent="0.25">
      <c r="A7" s="1">
        <v>46082</v>
      </c>
      <c r="B7" s="1">
        <v>46083</v>
      </c>
      <c r="C7">
        <v>4000210</v>
      </c>
      <c r="D7" t="s">
        <v>72</v>
      </c>
      <c r="E7" t="s">
        <v>59</v>
      </c>
      <c r="F7" t="s">
        <v>60</v>
      </c>
      <c r="G7" t="s">
        <v>124</v>
      </c>
      <c r="H7" t="s">
        <v>63</v>
      </c>
    </row>
    <row r="8" spans="1:8" hidden="1" x14ac:dyDescent="0.25">
      <c r="A8" s="1">
        <v>46082</v>
      </c>
      <c r="B8" s="1">
        <v>46083</v>
      </c>
      <c r="C8">
        <v>5000976</v>
      </c>
      <c r="D8" t="s">
        <v>73</v>
      </c>
      <c r="E8" t="s">
        <v>69</v>
      </c>
      <c r="F8" t="s">
        <v>70</v>
      </c>
      <c r="G8" t="s">
        <v>124</v>
      </c>
      <c r="H8" t="s">
        <v>63</v>
      </c>
    </row>
    <row r="9" spans="1:8" hidden="1" x14ac:dyDescent="0.25">
      <c r="A9" s="1">
        <v>46082</v>
      </c>
      <c r="B9" s="1">
        <v>46083</v>
      </c>
      <c r="C9">
        <v>5006908</v>
      </c>
      <c r="D9" t="s">
        <v>74</v>
      </c>
      <c r="E9" t="s">
        <v>69</v>
      </c>
      <c r="F9" t="s">
        <v>70</v>
      </c>
      <c r="G9" t="s">
        <v>124</v>
      </c>
      <c r="H9" t="s">
        <v>63</v>
      </c>
    </row>
    <row r="10" spans="1:8" hidden="1" x14ac:dyDescent="0.25">
      <c r="A10" s="1">
        <v>46082</v>
      </c>
      <c r="B10" s="1">
        <v>46083</v>
      </c>
      <c r="C10">
        <v>4007544</v>
      </c>
      <c r="D10" t="s">
        <v>75</v>
      </c>
      <c r="E10" t="s">
        <v>69</v>
      </c>
      <c r="F10" t="s">
        <v>70</v>
      </c>
      <c r="G10" t="s">
        <v>124</v>
      </c>
      <c r="H10" t="s">
        <v>63</v>
      </c>
    </row>
    <row r="11" spans="1:8" hidden="1" x14ac:dyDescent="0.25">
      <c r="A11" s="1">
        <v>46082</v>
      </c>
      <c r="B11" s="1">
        <v>46083</v>
      </c>
      <c r="C11">
        <v>4001440</v>
      </c>
      <c r="D11" t="s">
        <v>76</v>
      </c>
      <c r="E11" t="s">
        <v>77</v>
      </c>
      <c r="F11" t="s">
        <v>78</v>
      </c>
      <c r="G11" t="s">
        <v>124</v>
      </c>
      <c r="H11" t="s">
        <v>63</v>
      </c>
    </row>
    <row r="12" spans="1:8" hidden="1" x14ac:dyDescent="0.25">
      <c r="A12" s="1">
        <v>46082</v>
      </c>
      <c r="B12" s="1">
        <v>46083</v>
      </c>
      <c r="C12">
        <v>4009146</v>
      </c>
      <c r="D12" t="s">
        <v>79</v>
      </c>
      <c r="E12" t="s">
        <v>59</v>
      </c>
      <c r="F12" t="s">
        <v>60</v>
      </c>
      <c r="G12" t="s">
        <v>124</v>
      </c>
      <c r="H12" t="s">
        <v>63</v>
      </c>
    </row>
    <row r="13" spans="1:8" hidden="1" x14ac:dyDescent="0.25">
      <c r="A13" s="1">
        <v>46082</v>
      </c>
      <c r="B13" s="1">
        <v>46083</v>
      </c>
      <c r="C13">
        <v>4007500</v>
      </c>
      <c r="D13" t="s">
        <v>80</v>
      </c>
      <c r="E13" t="s">
        <v>69</v>
      </c>
      <c r="F13" t="s">
        <v>70</v>
      </c>
      <c r="G13" t="s">
        <v>124</v>
      </c>
      <c r="H13" t="s">
        <v>63</v>
      </c>
    </row>
    <row r="14" spans="1:8" x14ac:dyDescent="0.25">
      <c r="A14" s="1" t="s">
        <v>177</v>
      </c>
      <c r="B14" s="1">
        <v>46076</v>
      </c>
      <c r="C14">
        <v>4011539</v>
      </c>
      <c r="D14" t="s">
        <v>68</v>
      </c>
      <c r="E14" t="s">
        <v>69</v>
      </c>
      <c r="F14" t="s">
        <v>70</v>
      </c>
      <c r="G14" t="s">
        <v>124</v>
      </c>
      <c r="H14" t="s">
        <v>63</v>
      </c>
    </row>
    <row r="15" spans="1:8" hidden="1" x14ac:dyDescent="0.25">
      <c r="A15" s="1">
        <v>46054</v>
      </c>
      <c r="B15" s="1">
        <v>46076</v>
      </c>
      <c r="C15">
        <v>75524</v>
      </c>
      <c r="D15" t="s">
        <v>63</v>
      </c>
      <c r="E15" t="s">
        <v>64</v>
      </c>
      <c r="F15" t="s">
        <v>65</v>
      </c>
      <c r="G15" t="s">
        <v>124</v>
      </c>
      <c r="H15" t="s">
        <v>66</v>
      </c>
    </row>
    <row r="16" spans="1:8" x14ac:dyDescent="0.25">
      <c r="A16" s="1">
        <v>46054</v>
      </c>
      <c r="B16" s="1">
        <v>46076</v>
      </c>
      <c r="C16">
        <v>5006871</v>
      </c>
      <c r="D16" t="s">
        <v>71</v>
      </c>
      <c r="E16" t="s">
        <v>69</v>
      </c>
      <c r="F16" t="s">
        <v>70</v>
      </c>
      <c r="G16" t="s">
        <v>124</v>
      </c>
      <c r="H16" t="s">
        <v>63</v>
      </c>
    </row>
    <row r="17" spans="1:8" x14ac:dyDescent="0.25">
      <c r="A17" s="1">
        <v>46054</v>
      </c>
      <c r="B17" s="1">
        <v>46076</v>
      </c>
      <c r="C17">
        <v>5000976</v>
      </c>
      <c r="D17" t="s">
        <v>73</v>
      </c>
      <c r="E17" t="s">
        <v>69</v>
      </c>
      <c r="F17" t="s">
        <v>70</v>
      </c>
      <c r="G17" t="s">
        <v>124</v>
      </c>
      <c r="H17" t="s">
        <v>63</v>
      </c>
    </row>
    <row r="18" spans="1:8" x14ac:dyDescent="0.25">
      <c r="A18" s="1">
        <v>46054</v>
      </c>
      <c r="B18" s="1">
        <v>46076</v>
      </c>
      <c r="C18">
        <v>5006908</v>
      </c>
      <c r="D18" t="s">
        <v>74</v>
      </c>
      <c r="E18" t="s">
        <v>69</v>
      </c>
      <c r="F18" t="s">
        <v>70</v>
      </c>
      <c r="G18" t="s">
        <v>124</v>
      </c>
      <c r="H18" t="s">
        <v>63</v>
      </c>
    </row>
    <row r="19" spans="1:8" x14ac:dyDescent="0.25">
      <c r="A19" s="1">
        <v>46054</v>
      </c>
      <c r="B19" s="1">
        <v>46076</v>
      </c>
      <c r="C19">
        <v>4007544</v>
      </c>
      <c r="D19" t="s">
        <v>75</v>
      </c>
      <c r="E19" t="s">
        <v>69</v>
      </c>
      <c r="F19" t="s">
        <v>70</v>
      </c>
      <c r="G19" t="s">
        <v>124</v>
      </c>
      <c r="H19" t="s">
        <v>63</v>
      </c>
    </row>
    <row r="20" spans="1:8" x14ac:dyDescent="0.25">
      <c r="A20" s="1">
        <v>46054</v>
      </c>
      <c r="B20" s="1">
        <v>46076</v>
      </c>
      <c r="C20">
        <v>4007500</v>
      </c>
      <c r="D20" t="s">
        <v>80</v>
      </c>
      <c r="E20" t="s">
        <v>69</v>
      </c>
      <c r="F20" t="s">
        <v>70</v>
      </c>
      <c r="G20" t="s">
        <v>124</v>
      </c>
      <c r="H20" t="s">
        <v>63</v>
      </c>
    </row>
    <row r="21" spans="1:8" hidden="1" x14ac:dyDescent="0.25">
      <c r="A21" s="1">
        <v>46054</v>
      </c>
      <c r="B21" s="1">
        <v>46076</v>
      </c>
      <c r="C21">
        <v>5002584</v>
      </c>
      <c r="D21" t="s">
        <v>58</v>
      </c>
      <c r="E21" t="s">
        <v>59</v>
      </c>
      <c r="F21" t="s">
        <v>60</v>
      </c>
      <c r="G21" t="s">
        <v>124</v>
      </c>
      <c r="H21" t="s">
        <v>62</v>
      </c>
    </row>
    <row r="22" spans="1:8" x14ac:dyDescent="0.25">
      <c r="A22" s="1">
        <v>46054</v>
      </c>
      <c r="B22" s="1">
        <v>46076</v>
      </c>
      <c r="C22">
        <v>54150</v>
      </c>
      <c r="D22" t="s">
        <v>67</v>
      </c>
      <c r="E22" t="s">
        <v>59</v>
      </c>
      <c r="F22" t="s">
        <v>60</v>
      </c>
      <c r="G22" t="s">
        <v>124</v>
      </c>
      <c r="H22" t="s">
        <v>63</v>
      </c>
    </row>
    <row r="23" spans="1:8" hidden="1" x14ac:dyDescent="0.25">
      <c r="A23" s="1">
        <v>46054</v>
      </c>
      <c r="B23" s="1">
        <v>46076</v>
      </c>
      <c r="C23">
        <v>4001440</v>
      </c>
      <c r="D23" t="s">
        <v>76</v>
      </c>
      <c r="E23" t="s">
        <v>77</v>
      </c>
      <c r="F23" t="s">
        <v>78</v>
      </c>
      <c r="G23" t="s">
        <v>124</v>
      </c>
      <c r="H23" t="s">
        <v>63</v>
      </c>
    </row>
    <row r="24" spans="1:8" x14ac:dyDescent="0.25">
      <c r="A24" s="1">
        <v>46054</v>
      </c>
      <c r="B24" s="1">
        <v>46076</v>
      </c>
      <c r="C24">
        <v>4000210</v>
      </c>
      <c r="D24" t="s">
        <v>72</v>
      </c>
      <c r="E24" t="s">
        <v>59</v>
      </c>
      <c r="F24" t="s">
        <v>60</v>
      </c>
      <c r="G24" t="s">
        <v>124</v>
      </c>
      <c r="H24" t="s">
        <v>63</v>
      </c>
    </row>
    <row r="25" spans="1:8" x14ac:dyDescent="0.25">
      <c r="A25" s="1">
        <v>46054</v>
      </c>
      <c r="B25" s="1">
        <v>46076</v>
      </c>
      <c r="C25">
        <v>4009146</v>
      </c>
      <c r="D25" t="s">
        <v>79</v>
      </c>
      <c r="E25" t="s">
        <v>59</v>
      </c>
      <c r="F25" t="s">
        <v>60</v>
      </c>
      <c r="G25" t="s">
        <v>124</v>
      </c>
      <c r="H25" t="s">
        <v>63</v>
      </c>
    </row>
    <row r="26" spans="1:8" hidden="1" x14ac:dyDescent="0.25">
      <c r="A26" s="1">
        <v>46023</v>
      </c>
      <c r="B26" s="1">
        <v>46048</v>
      </c>
      <c r="C26">
        <v>5002584</v>
      </c>
      <c r="D26" t="s">
        <v>58</v>
      </c>
      <c r="E26" t="s">
        <v>59</v>
      </c>
      <c r="F26" t="s">
        <v>60</v>
      </c>
      <c r="G26" t="s">
        <v>124</v>
      </c>
      <c r="H26" t="s">
        <v>62</v>
      </c>
    </row>
    <row r="27" spans="1:8" hidden="1" x14ac:dyDescent="0.25">
      <c r="A27" s="1">
        <v>46023</v>
      </c>
      <c r="B27" s="1">
        <v>46048</v>
      </c>
      <c r="C27">
        <v>75524</v>
      </c>
      <c r="D27" t="s">
        <v>63</v>
      </c>
      <c r="E27" t="s">
        <v>64</v>
      </c>
      <c r="F27" t="s">
        <v>65</v>
      </c>
      <c r="G27" t="s">
        <v>124</v>
      </c>
      <c r="H27" t="s">
        <v>66</v>
      </c>
    </row>
    <row r="28" spans="1:8" hidden="1" x14ac:dyDescent="0.25">
      <c r="A28" s="1">
        <v>46023</v>
      </c>
      <c r="B28" s="1">
        <v>46048</v>
      </c>
      <c r="C28">
        <v>54150</v>
      </c>
      <c r="D28" t="s">
        <v>67</v>
      </c>
      <c r="E28" t="s">
        <v>59</v>
      </c>
      <c r="F28" t="s">
        <v>60</v>
      </c>
      <c r="G28" t="s">
        <v>124</v>
      </c>
      <c r="H28" t="s">
        <v>63</v>
      </c>
    </row>
    <row r="29" spans="1:8" hidden="1" x14ac:dyDescent="0.25">
      <c r="A29" s="1">
        <v>46023</v>
      </c>
      <c r="B29" s="1">
        <v>46048</v>
      </c>
      <c r="C29">
        <v>4011539</v>
      </c>
      <c r="D29" t="s">
        <v>68</v>
      </c>
      <c r="E29" t="s">
        <v>69</v>
      </c>
      <c r="F29" t="s">
        <v>70</v>
      </c>
      <c r="G29" t="s">
        <v>124</v>
      </c>
      <c r="H29" t="s">
        <v>63</v>
      </c>
    </row>
    <row r="30" spans="1:8" hidden="1" x14ac:dyDescent="0.25">
      <c r="A30" s="1">
        <v>46023</v>
      </c>
      <c r="B30" s="1">
        <v>46048</v>
      </c>
      <c r="C30">
        <v>5006871</v>
      </c>
      <c r="D30" t="s">
        <v>71</v>
      </c>
      <c r="E30" t="s">
        <v>69</v>
      </c>
      <c r="F30" t="s">
        <v>70</v>
      </c>
      <c r="G30" t="s">
        <v>124</v>
      </c>
      <c r="H30" t="s">
        <v>63</v>
      </c>
    </row>
    <row r="31" spans="1:8" hidden="1" x14ac:dyDescent="0.25">
      <c r="A31" s="1">
        <v>46023</v>
      </c>
      <c r="B31" s="1">
        <v>46048</v>
      </c>
      <c r="C31">
        <v>4000210</v>
      </c>
      <c r="D31" t="s">
        <v>72</v>
      </c>
      <c r="E31" t="s">
        <v>59</v>
      </c>
      <c r="F31" t="s">
        <v>60</v>
      </c>
      <c r="G31" t="s">
        <v>124</v>
      </c>
      <c r="H31" t="s">
        <v>63</v>
      </c>
    </row>
    <row r="32" spans="1:8" hidden="1" x14ac:dyDescent="0.25">
      <c r="A32" s="1">
        <v>46023</v>
      </c>
      <c r="B32" s="1">
        <v>46048</v>
      </c>
      <c r="C32">
        <v>5000976</v>
      </c>
      <c r="D32" t="s">
        <v>73</v>
      </c>
      <c r="E32" t="s">
        <v>69</v>
      </c>
      <c r="F32" t="s">
        <v>70</v>
      </c>
      <c r="G32" t="s">
        <v>124</v>
      </c>
      <c r="H32" t="s">
        <v>63</v>
      </c>
    </row>
    <row r="33" spans="1:8" hidden="1" x14ac:dyDescent="0.25">
      <c r="A33" s="1">
        <v>46023</v>
      </c>
      <c r="B33" s="1">
        <v>46048</v>
      </c>
      <c r="C33">
        <v>5006908</v>
      </c>
      <c r="D33" t="s">
        <v>74</v>
      </c>
      <c r="E33" t="s">
        <v>69</v>
      </c>
      <c r="F33" t="s">
        <v>70</v>
      </c>
      <c r="G33" t="s">
        <v>124</v>
      </c>
      <c r="H33" t="s">
        <v>63</v>
      </c>
    </row>
    <row r="34" spans="1:8" hidden="1" x14ac:dyDescent="0.25">
      <c r="A34" s="1">
        <v>46023</v>
      </c>
      <c r="B34" s="1">
        <v>46048</v>
      </c>
      <c r="C34">
        <v>4007544</v>
      </c>
      <c r="D34" t="s">
        <v>75</v>
      </c>
      <c r="E34" t="s">
        <v>69</v>
      </c>
      <c r="F34" t="s">
        <v>70</v>
      </c>
      <c r="G34" t="s">
        <v>124</v>
      </c>
      <c r="H34" t="s">
        <v>63</v>
      </c>
    </row>
    <row r="35" spans="1:8" hidden="1" x14ac:dyDescent="0.25">
      <c r="A35" s="1">
        <v>46023</v>
      </c>
      <c r="B35" s="1">
        <v>46048</v>
      </c>
      <c r="C35">
        <v>4001440</v>
      </c>
      <c r="D35" t="s">
        <v>76</v>
      </c>
      <c r="E35" t="s">
        <v>77</v>
      </c>
      <c r="F35" t="s">
        <v>78</v>
      </c>
      <c r="G35" t="s">
        <v>124</v>
      </c>
      <c r="H35" t="s">
        <v>63</v>
      </c>
    </row>
    <row r="36" spans="1:8" hidden="1" x14ac:dyDescent="0.25">
      <c r="A36" s="1">
        <v>46023</v>
      </c>
      <c r="B36" s="1">
        <v>46048</v>
      </c>
      <c r="C36">
        <v>4009146</v>
      </c>
      <c r="D36" t="s">
        <v>79</v>
      </c>
      <c r="E36" t="s">
        <v>59</v>
      </c>
      <c r="F36" t="s">
        <v>60</v>
      </c>
      <c r="G36" t="s">
        <v>124</v>
      </c>
      <c r="H36" t="s">
        <v>63</v>
      </c>
    </row>
    <row r="37" spans="1:8" hidden="1" x14ac:dyDescent="0.25">
      <c r="A37" s="1">
        <v>46023</v>
      </c>
      <c r="B37" s="1">
        <v>46048</v>
      </c>
      <c r="C37">
        <v>4007500</v>
      </c>
      <c r="D37" t="s">
        <v>80</v>
      </c>
      <c r="E37" t="s">
        <v>69</v>
      </c>
      <c r="F37" t="s">
        <v>70</v>
      </c>
      <c r="G37" t="s">
        <v>124</v>
      </c>
      <c r="H37" t="s">
        <v>63</v>
      </c>
    </row>
    <row r="38" spans="1:8" hidden="1" x14ac:dyDescent="0.25">
      <c r="A38" s="1">
        <v>45992</v>
      </c>
      <c r="B38" s="1">
        <v>46020</v>
      </c>
      <c r="C38">
        <v>5002584</v>
      </c>
      <c r="D38" t="s">
        <v>58</v>
      </c>
      <c r="E38" t="s">
        <v>59</v>
      </c>
      <c r="F38" t="s">
        <v>60</v>
      </c>
      <c r="G38" t="s">
        <v>61</v>
      </c>
      <c r="H38" t="s">
        <v>62</v>
      </c>
    </row>
    <row r="39" spans="1:8" hidden="1" x14ac:dyDescent="0.25">
      <c r="A39" s="1">
        <v>45992</v>
      </c>
      <c r="B39" s="1">
        <v>46020</v>
      </c>
      <c r="C39">
        <v>75524</v>
      </c>
      <c r="D39" t="s">
        <v>63</v>
      </c>
      <c r="E39" t="s">
        <v>64</v>
      </c>
      <c r="F39" t="s">
        <v>65</v>
      </c>
      <c r="G39" t="s">
        <v>61</v>
      </c>
      <c r="H39" t="s">
        <v>66</v>
      </c>
    </row>
    <row r="40" spans="1:8" hidden="1" x14ac:dyDescent="0.25">
      <c r="A40" s="1">
        <v>45992</v>
      </c>
      <c r="B40" s="1">
        <v>46020</v>
      </c>
      <c r="C40">
        <v>54150</v>
      </c>
      <c r="D40" t="s">
        <v>67</v>
      </c>
      <c r="E40" t="s">
        <v>59</v>
      </c>
      <c r="F40" t="s">
        <v>60</v>
      </c>
      <c r="G40" t="s">
        <v>61</v>
      </c>
      <c r="H40" t="s">
        <v>63</v>
      </c>
    </row>
    <row r="41" spans="1:8" hidden="1" x14ac:dyDescent="0.25">
      <c r="A41" s="1">
        <v>45992</v>
      </c>
      <c r="B41" s="1">
        <v>46020</v>
      </c>
      <c r="C41">
        <v>4011539</v>
      </c>
      <c r="D41" t="s">
        <v>68</v>
      </c>
      <c r="E41" t="s">
        <v>69</v>
      </c>
      <c r="F41" t="s">
        <v>70</v>
      </c>
      <c r="G41" t="s">
        <v>61</v>
      </c>
      <c r="H41" t="s">
        <v>63</v>
      </c>
    </row>
    <row r="42" spans="1:8" hidden="1" x14ac:dyDescent="0.25">
      <c r="A42" s="1">
        <v>45992</v>
      </c>
      <c r="B42" s="1">
        <v>46020</v>
      </c>
      <c r="C42">
        <v>5006871</v>
      </c>
      <c r="D42" t="s">
        <v>71</v>
      </c>
      <c r="E42" t="s">
        <v>69</v>
      </c>
      <c r="F42" t="s">
        <v>70</v>
      </c>
      <c r="G42" t="s">
        <v>61</v>
      </c>
      <c r="H42" t="s">
        <v>63</v>
      </c>
    </row>
    <row r="43" spans="1:8" hidden="1" x14ac:dyDescent="0.25">
      <c r="A43" s="1">
        <v>45992</v>
      </c>
      <c r="B43" s="1">
        <v>46020</v>
      </c>
      <c r="C43">
        <v>4000210</v>
      </c>
      <c r="D43" t="s">
        <v>72</v>
      </c>
      <c r="E43" t="s">
        <v>59</v>
      </c>
      <c r="F43" t="s">
        <v>60</v>
      </c>
      <c r="G43" t="s">
        <v>61</v>
      </c>
      <c r="H43" t="s">
        <v>63</v>
      </c>
    </row>
    <row r="44" spans="1:8" hidden="1" x14ac:dyDescent="0.25">
      <c r="A44" s="1">
        <v>45992</v>
      </c>
      <c r="B44" s="1">
        <v>46020</v>
      </c>
      <c r="C44">
        <v>5000976</v>
      </c>
      <c r="D44" t="s">
        <v>73</v>
      </c>
      <c r="E44" t="s">
        <v>69</v>
      </c>
      <c r="F44" t="s">
        <v>70</v>
      </c>
      <c r="G44" t="s">
        <v>61</v>
      </c>
      <c r="H44" t="s">
        <v>63</v>
      </c>
    </row>
    <row r="45" spans="1:8" hidden="1" x14ac:dyDescent="0.25">
      <c r="A45" s="1">
        <v>45992</v>
      </c>
      <c r="B45" s="1">
        <v>46020</v>
      </c>
      <c r="C45">
        <v>5006908</v>
      </c>
      <c r="D45" t="s">
        <v>74</v>
      </c>
      <c r="E45" t="s">
        <v>69</v>
      </c>
      <c r="F45" t="s">
        <v>70</v>
      </c>
      <c r="G45" t="s">
        <v>61</v>
      </c>
      <c r="H45" t="s">
        <v>63</v>
      </c>
    </row>
    <row r="46" spans="1:8" hidden="1" x14ac:dyDescent="0.25">
      <c r="A46" s="1">
        <v>45992</v>
      </c>
      <c r="B46" s="1">
        <v>46020</v>
      </c>
      <c r="C46">
        <v>4007544</v>
      </c>
      <c r="D46" t="s">
        <v>75</v>
      </c>
      <c r="E46" t="s">
        <v>69</v>
      </c>
      <c r="F46" t="s">
        <v>70</v>
      </c>
      <c r="G46" t="s">
        <v>61</v>
      </c>
      <c r="H46" t="s">
        <v>63</v>
      </c>
    </row>
    <row r="47" spans="1:8" hidden="1" x14ac:dyDescent="0.25">
      <c r="A47" s="1">
        <v>45992</v>
      </c>
      <c r="B47" s="1">
        <v>46020</v>
      </c>
      <c r="C47">
        <v>4001440</v>
      </c>
      <c r="D47" t="s">
        <v>76</v>
      </c>
      <c r="E47" t="s">
        <v>77</v>
      </c>
      <c r="F47" t="s">
        <v>78</v>
      </c>
      <c r="G47" t="s">
        <v>61</v>
      </c>
      <c r="H47" t="s">
        <v>63</v>
      </c>
    </row>
    <row r="48" spans="1:8" hidden="1" x14ac:dyDescent="0.25">
      <c r="A48" s="1">
        <v>45992</v>
      </c>
      <c r="B48" s="1">
        <v>46020</v>
      </c>
      <c r="C48">
        <v>4009146</v>
      </c>
      <c r="D48" t="s">
        <v>79</v>
      </c>
      <c r="E48" t="s">
        <v>59</v>
      </c>
      <c r="F48" t="s">
        <v>60</v>
      </c>
      <c r="G48" t="s">
        <v>61</v>
      </c>
      <c r="H48" t="s">
        <v>63</v>
      </c>
    </row>
    <row r="49" spans="1:8" hidden="1" x14ac:dyDescent="0.25">
      <c r="A49" s="1">
        <v>45992</v>
      </c>
      <c r="B49" s="1">
        <v>46020</v>
      </c>
      <c r="C49">
        <v>4007500</v>
      </c>
      <c r="D49" t="s">
        <v>80</v>
      </c>
      <c r="E49" t="s">
        <v>69</v>
      </c>
      <c r="F49" t="s">
        <v>70</v>
      </c>
      <c r="G49" t="s">
        <v>61</v>
      </c>
      <c r="H49" t="s">
        <v>63</v>
      </c>
    </row>
    <row r="50" spans="1:8" hidden="1" x14ac:dyDescent="0.25">
      <c r="A50" s="1">
        <v>45962</v>
      </c>
      <c r="B50" s="1">
        <v>45985</v>
      </c>
      <c r="C50">
        <v>5002584</v>
      </c>
      <c r="D50" t="s">
        <v>58</v>
      </c>
      <c r="E50" t="s">
        <v>59</v>
      </c>
      <c r="F50" t="s">
        <v>60</v>
      </c>
      <c r="G50" t="s">
        <v>61</v>
      </c>
      <c r="H50" t="s">
        <v>62</v>
      </c>
    </row>
    <row r="51" spans="1:8" hidden="1" x14ac:dyDescent="0.25">
      <c r="A51" s="1">
        <v>45962</v>
      </c>
      <c r="B51" s="1">
        <v>45985</v>
      </c>
      <c r="C51">
        <v>75524</v>
      </c>
      <c r="D51" t="s">
        <v>63</v>
      </c>
      <c r="E51" t="s">
        <v>64</v>
      </c>
      <c r="F51" t="s">
        <v>65</v>
      </c>
      <c r="G51" t="s">
        <v>61</v>
      </c>
      <c r="H51" t="s">
        <v>66</v>
      </c>
    </row>
    <row r="52" spans="1:8" hidden="1" x14ac:dyDescent="0.25">
      <c r="A52" s="1">
        <v>45962</v>
      </c>
      <c r="B52" s="1">
        <v>45985</v>
      </c>
      <c r="C52">
        <v>54150</v>
      </c>
      <c r="D52" t="s">
        <v>67</v>
      </c>
      <c r="E52" t="s">
        <v>59</v>
      </c>
      <c r="F52" t="s">
        <v>60</v>
      </c>
      <c r="G52" t="s">
        <v>61</v>
      </c>
      <c r="H52" t="s">
        <v>63</v>
      </c>
    </row>
    <row r="53" spans="1:8" hidden="1" x14ac:dyDescent="0.25">
      <c r="A53" s="1">
        <v>45962</v>
      </c>
      <c r="B53" s="1">
        <v>45985</v>
      </c>
      <c r="C53">
        <v>4011539</v>
      </c>
      <c r="D53" t="s">
        <v>68</v>
      </c>
      <c r="E53" t="s">
        <v>69</v>
      </c>
      <c r="F53" t="s">
        <v>70</v>
      </c>
      <c r="G53" t="s">
        <v>61</v>
      </c>
      <c r="H53" t="s">
        <v>63</v>
      </c>
    </row>
    <row r="54" spans="1:8" hidden="1" x14ac:dyDescent="0.25">
      <c r="A54" s="1">
        <v>45962</v>
      </c>
      <c r="B54" s="1">
        <v>45985</v>
      </c>
      <c r="C54">
        <v>5006871</v>
      </c>
      <c r="D54" t="s">
        <v>71</v>
      </c>
      <c r="E54" t="s">
        <v>69</v>
      </c>
      <c r="F54" t="s">
        <v>70</v>
      </c>
      <c r="G54" t="s">
        <v>61</v>
      </c>
      <c r="H54" t="s">
        <v>63</v>
      </c>
    </row>
    <row r="55" spans="1:8" hidden="1" x14ac:dyDescent="0.25">
      <c r="A55" s="1">
        <v>45962</v>
      </c>
      <c r="B55" s="1">
        <v>45985</v>
      </c>
      <c r="C55">
        <v>4000210</v>
      </c>
      <c r="D55" t="s">
        <v>72</v>
      </c>
      <c r="E55" t="s">
        <v>59</v>
      </c>
      <c r="F55" t="s">
        <v>60</v>
      </c>
      <c r="G55" t="s">
        <v>61</v>
      </c>
      <c r="H55" t="s">
        <v>63</v>
      </c>
    </row>
    <row r="56" spans="1:8" hidden="1" x14ac:dyDescent="0.25">
      <c r="A56" s="1">
        <v>45962</v>
      </c>
      <c r="B56" s="1">
        <v>45985</v>
      </c>
      <c r="C56">
        <v>5000976</v>
      </c>
      <c r="D56" t="s">
        <v>73</v>
      </c>
      <c r="E56" t="s">
        <v>69</v>
      </c>
      <c r="F56" t="s">
        <v>70</v>
      </c>
      <c r="G56" t="s">
        <v>61</v>
      </c>
      <c r="H56" t="s">
        <v>63</v>
      </c>
    </row>
    <row r="57" spans="1:8" hidden="1" x14ac:dyDescent="0.25">
      <c r="A57" s="1">
        <v>45962</v>
      </c>
      <c r="B57" s="1">
        <v>45985</v>
      </c>
      <c r="C57">
        <v>5006908</v>
      </c>
      <c r="D57" t="s">
        <v>74</v>
      </c>
      <c r="E57" t="s">
        <v>69</v>
      </c>
      <c r="F57" t="s">
        <v>70</v>
      </c>
      <c r="G57" t="s">
        <v>61</v>
      </c>
      <c r="H57" t="s">
        <v>63</v>
      </c>
    </row>
    <row r="58" spans="1:8" hidden="1" x14ac:dyDescent="0.25">
      <c r="A58" s="1">
        <v>45962</v>
      </c>
      <c r="B58" s="1">
        <v>45985</v>
      </c>
      <c r="C58">
        <v>4007544</v>
      </c>
      <c r="D58" t="s">
        <v>75</v>
      </c>
      <c r="E58" t="s">
        <v>69</v>
      </c>
      <c r="F58" t="s">
        <v>70</v>
      </c>
      <c r="G58" t="s">
        <v>61</v>
      </c>
      <c r="H58" t="s">
        <v>63</v>
      </c>
    </row>
    <row r="59" spans="1:8" hidden="1" x14ac:dyDescent="0.25">
      <c r="A59" s="1">
        <v>45962</v>
      </c>
      <c r="B59" s="1">
        <v>45985</v>
      </c>
      <c r="C59">
        <v>4001440</v>
      </c>
      <c r="D59" t="s">
        <v>76</v>
      </c>
      <c r="E59" t="s">
        <v>77</v>
      </c>
      <c r="F59" t="s">
        <v>78</v>
      </c>
      <c r="G59" t="s">
        <v>61</v>
      </c>
      <c r="H59" t="s">
        <v>63</v>
      </c>
    </row>
    <row r="60" spans="1:8" hidden="1" x14ac:dyDescent="0.25">
      <c r="A60" s="1">
        <v>45962</v>
      </c>
      <c r="B60" s="1">
        <v>45985</v>
      </c>
      <c r="C60">
        <v>4009146</v>
      </c>
      <c r="D60" t="s">
        <v>79</v>
      </c>
      <c r="E60" t="s">
        <v>59</v>
      </c>
      <c r="F60" t="s">
        <v>60</v>
      </c>
      <c r="G60" t="s">
        <v>61</v>
      </c>
      <c r="H60" t="s">
        <v>63</v>
      </c>
    </row>
    <row r="61" spans="1:8" hidden="1" x14ac:dyDescent="0.25">
      <c r="A61" s="1">
        <v>45962</v>
      </c>
      <c r="B61" s="1">
        <v>45985</v>
      </c>
      <c r="C61">
        <v>4007500</v>
      </c>
      <c r="D61" t="s">
        <v>80</v>
      </c>
      <c r="E61" t="s">
        <v>69</v>
      </c>
      <c r="F61" t="s">
        <v>70</v>
      </c>
      <c r="G61" t="s">
        <v>61</v>
      </c>
      <c r="H61" t="s">
        <v>63</v>
      </c>
    </row>
    <row r="62" spans="1:8" hidden="1" x14ac:dyDescent="0.25">
      <c r="A62" s="1">
        <v>45931</v>
      </c>
      <c r="B62" s="1">
        <v>45957</v>
      </c>
      <c r="C62">
        <v>5002584</v>
      </c>
      <c r="D62" t="s">
        <v>58</v>
      </c>
      <c r="E62" t="s">
        <v>59</v>
      </c>
      <c r="F62" t="s">
        <v>60</v>
      </c>
      <c r="G62" t="s">
        <v>61</v>
      </c>
      <c r="H62" t="s">
        <v>62</v>
      </c>
    </row>
    <row r="63" spans="1:8" hidden="1" x14ac:dyDescent="0.25">
      <c r="A63" s="1">
        <v>45931</v>
      </c>
      <c r="B63" s="1">
        <v>45957</v>
      </c>
      <c r="C63">
        <v>75524</v>
      </c>
      <c r="D63" t="s">
        <v>63</v>
      </c>
      <c r="E63" t="s">
        <v>64</v>
      </c>
      <c r="F63" t="s">
        <v>65</v>
      </c>
      <c r="G63" t="s">
        <v>61</v>
      </c>
      <c r="H63" t="s">
        <v>66</v>
      </c>
    </row>
    <row r="64" spans="1:8" hidden="1" x14ac:dyDescent="0.25">
      <c r="A64" s="1">
        <v>45931</v>
      </c>
      <c r="B64" s="1">
        <v>45957</v>
      </c>
      <c r="C64">
        <v>54150</v>
      </c>
      <c r="D64" t="s">
        <v>67</v>
      </c>
      <c r="E64" t="s">
        <v>59</v>
      </c>
      <c r="F64" t="s">
        <v>60</v>
      </c>
      <c r="G64" t="s">
        <v>61</v>
      </c>
      <c r="H64" t="s">
        <v>63</v>
      </c>
    </row>
    <row r="65" spans="1:8" hidden="1" x14ac:dyDescent="0.25">
      <c r="A65" s="1">
        <v>45931</v>
      </c>
      <c r="B65" s="1">
        <v>45957</v>
      </c>
      <c r="C65">
        <v>4011539</v>
      </c>
      <c r="D65" t="s">
        <v>68</v>
      </c>
      <c r="E65" t="s">
        <v>69</v>
      </c>
      <c r="F65" t="s">
        <v>70</v>
      </c>
      <c r="G65" t="s">
        <v>61</v>
      </c>
      <c r="H65" t="s">
        <v>63</v>
      </c>
    </row>
    <row r="66" spans="1:8" hidden="1" x14ac:dyDescent="0.25">
      <c r="A66" s="1">
        <v>45931</v>
      </c>
      <c r="B66" s="1">
        <v>45957</v>
      </c>
      <c r="C66">
        <v>5006871</v>
      </c>
      <c r="D66" t="s">
        <v>71</v>
      </c>
      <c r="E66" t="s">
        <v>69</v>
      </c>
      <c r="F66" t="s">
        <v>70</v>
      </c>
      <c r="G66" t="s">
        <v>61</v>
      </c>
      <c r="H66" t="s">
        <v>63</v>
      </c>
    </row>
    <row r="67" spans="1:8" hidden="1" x14ac:dyDescent="0.25">
      <c r="A67" s="1">
        <v>45931</v>
      </c>
      <c r="B67" s="1">
        <v>45957</v>
      </c>
      <c r="C67">
        <v>4000210</v>
      </c>
      <c r="D67" t="s">
        <v>72</v>
      </c>
      <c r="E67" t="s">
        <v>59</v>
      </c>
      <c r="F67" t="s">
        <v>60</v>
      </c>
      <c r="G67" t="s">
        <v>61</v>
      </c>
      <c r="H67" t="s">
        <v>63</v>
      </c>
    </row>
    <row r="68" spans="1:8" hidden="1" x14ac:dyDescent="0.25">
      <c r="A68" s="1">
        <v>45931</v>
      </c>
      <c r="B68" s="1">
        <v>45957</v>
      </c>
      <c r="C68">
        <v>5000976</v>
      </c>
      <c r="D68" t="s">
        <v>73</v>
      </c>
      <c r="E68" t="s">
        <v>69</v>
      </c>
      <c r="F68" t="s">
        <v>70</v>
      </c>
      <c r="G68" t="s">
        <v>61</v>
      </c>
      <c r="H68" t="s">
        <v>63</v>
      </c>
    </row>
    <row r="69" spans="1:8" hidden="1" x14ac:dyDescent="0.25">
      <c r="A69" s="1">
        <v>45931</v>
      </c>
      <c r="B69" s="1">
        <v>45957</v>
      </c>
      <c r="C69">
        <v>5006908</v>
      </c>
      <c r="D69" t="s">
        <v>74</v>
      </c>
      <c r="E69" t="s">
        <v>69</v>
      </c>
      <c r="F69" t="s">
        <v>70</v>
      </c>
      <c r="G69" t="s">
        <v>61</v>
      </c>
      <c r="H69" t="s">
        <v>63</v>
      </c>
    </row>
    <row r="70" spans="1:8" hidden="1" x14ac:dyDescent="0.25">
      <c r="A70" s="1">
        <v>45931</v>
      </c>
      <c r="B70" s="1">
        <v>45957</v>
      </c>
      <c r="C70">
        <v>4007544</v>
      </c>
      <c r="D70" t="s">
        <v>75</v>
      </c>
      <c r="E70" t="s">
        <v>69</v>
      </c>
      <c r="F70" t="s">
        <v>70</v>
      </c>
      <c r="G70" t="s">
        <v>61</v>
      </c>
      <c r="H70" t="s">
        <v>63</v>
      </c>
    </row>
    <row r="71" spans="1:8" hidden="1" x14ac:dyDescent="0.25">
      <c r="A71" s="1">
        <v>45931</v>
      </c>
      <c r="B71" s="1">
        <v>45957</v>
      </c>
      <c r="C71">
        <v>4001440</v>
      </c>
      <c r="D71" t="s">
        <v>76</v>
      </c>
      <c r="E71" t="s">
        <v>77</v>
      </c>
      <c r="F71" t="s">
        <v>78</v>
      </c>
      <c r="G71" t="s">
        <v>61</v>
      </c>
      <c r="H71" t="s">
        <v>63</v>
      </c>
    </row>
    <row r="72" spans="1:8" hidden="1" x14ac:dyDescent="0.25">
      <c r="A72" s="1">
        <v>45931</v>
      </c>
      <c r="B72" s="1">
        <v>45957</v>
      </c>
      <c r="C72">
        <v>4009146</v>
      </c>
      <c r="D72" t="s">
        <v>79</v>
      </c>
      <c r="E72" t="s">
        <v>59</v>
      </c>
      <c r="F72" t="s">
        <v>60</v>
      </c>
      <c r="G72" t="s">
        <v>61</v>
      </c>
      <c r="H72" t="s">
        <v>63</v>
      </c>
    </row>
    <row r="73" spans="1:8" hidden="1" x14ac:dyDescent="0.25">
      <c r="A73" s="1">
        <v>45931</v>
      </c>
      <c r="B73" s="1">
        <v>45957</v>
      </c>
      <c r="C73">
        <v>4007500</v>
      </c>
      <c r="D73" t="s">
        <v>80</v>
      </c>
      <c r="E73" t="s">
        <v>69</v>
      </c>
      <c r="F73" t="s">
        <v>70</v>
      </c>
      <c r="G73" t="s">
        <v>61</v>
      </c>
      <c r="H73" t="s">
        <v>63</v>
      </c>
    </row>
    <row r="74" spans="1:8" hidden="1" x14ac:dyDescent="0.25">
      <c r="A74" s="1">
        <v>45901</v>
      </c>
      <c r="B74" s="1">
        <v>45929</v>
      </c>
      <c r="C74">
        <v>75524</v>
      </c>
      <c r="D74" t="s">
        <v>63</v>
      </c>
      <c r="E74" t="s">
        <v>64</v>
      </c>
      <c r="F74" t="s">
        <v>65</v>
      </c>
      <c r="G74" t="s">
        <v>61</v>
      </c>
      <c r="H74" t="s">
        <v>66</v>
      </c>
    </row>
    <row r="75" spans="1:8" hidden="1" x14ac:dyDescent="0.25">
      <c r="A75" s="1">
        <v>45901</v>
      </c>
      <c r="B75" s="1">
        <v>45929</v>
      </c>
      <c r="C75">
        <v>54150</v>
      </c>
      <c r="D75" t="s">
        <v>67</v>
      </c>
      <c r="E75" t="s">
        <v>59</v>
      </c>
      <c r="F75" t="s">
        <v>60</v>
      </c>
      <c r="G75" t="s">
        <v>61</v>
      </c>
      <c r="H75" t="s">
        <v>63</v>
      </c>
    </row>
    <row r="76" spans="1:8" hidden="1" x14ac:dyDescent="0.25">
      <c r="A76" s="1">
        <v>45901</v>
      </c>
      <c r="B76" s="1">
        <v>45929</v>
      </c>
      <c r="C76">
        <v>4011539</v>
      </c>
      <c r="D76" t="s">
        <v>68</v>
      </c>
      <c r="E76" t="s">
        <v>69</v>
      </c>
      <c r="F76" t="s">
        <v>70</v>
      </c>
      <c r="G76" t="s">
        <v>61</v>
      </c>
      <c r="H76" t="s">
        <v>63</v>
      </c>
    </row>
    <row r="77" spans="1:8" hidden="1" x14ac:dyDescent="0.25">
      <c r="A77" s="1">
        <v>45901</v>
      </c>
      <c r="B77" s="1">
        <v>45929</v>
      </c>
      <c r="C77">
        <v>5006871</v>
      </c>
      <c r="D77" t="s">
        <v>71</v>
      </c>
      <c r="E77" t="s">
        <v>69</v>
      </c>
      <c r="F77" t="s">
        <v>70</v>
      </c>
      <c r="G77" t="s">
        <v>61</v>
      </c>
      <c r="H77" t="s">
        <v>63</v>
      </c>
    </row>
    <row r="78" spans="1:8" hidden="1" x14ac:dyDescent="0.25">
      <c r="A78" s="1">
        <v>45901</v>
      </c>
      <c r="B78" s="1">
        <v>45929</v>
      </c>
      <c r="C78">
        <v>4000210</v>
      </c>
      <c r="D78" t="s">
        <v>72</v>
      </c>
      <c r="E78" t="s">
        <v>59</v>
      </c>
      <c r="F78" t="s">
        <v>60</v>
      </c>
      <c r="G78" t="s">
        <v>61</v>
      </c>
      <c r="H78" t="s">
        <v>63</v>
      </c>
    </row>
    <row r="79" spans="1:8" hidden="1" x14ac:dyDescent="0.25">
      <c r="A79" s="1">
        <v>45901</v>
      </c>
      <c r="B79" s="1">
        <v>45929</v>
      </c>
      <c r="C79">
        <v>5000976</v>
      </c>
      <c r="D79" t="s">
        <v>73</v>
      </c>
      <c r="E79" t="s">
        <v>69</v>
      </c>
      <c r="F79" t="s">
        <v>70</v>
      </c>
      <c r="G79" t="s">
        <v>61</v>
      </c>
      <c r="H79" t="s">
        <v>63</v>
      </c>
    </row>
    <row r="80" spans="1:8" hidden="1" x14ac:dyDescent="0.25">
      <c r="A80" s="1">
        <v>45901</v>
      </c>
      <c r="B80" s="1">
        <v>45929</v>
      </c>
      <c r="C80">
        <v>5006908</v>
      </c>
      <c r="D80" t="s">
        <v>74</v>
      </c>
      <c r="E80" t="s">
        <v>69</v>
      </c>
      <c r="F80" t="s">
        <v>70</v>
      </c>
      <c r="G80" t="s">
        <v>61</v>
      </c>
      <c r="H80" t="s">
        <v>63</v>
      </c>
    </row>
    <row r="81" spans="1:8" hidden="1" x14ac:dyDescent="0.25">
      <c r="A81" s="1">
        <v>45901</v>
      </c>
      <c r="B81" s="1">
        <v>45929</v>
      </c>
      <c r="C81">
        <v>4007544</v>
      </c>
      <c r="D81" t="s">
        <v>75</v>
      </c>
      <c r="E81" t="s">
        <v>69</v>
      </c>
      <c r="F81" t="s">
        <v>70</v>
      </c>
      <c r="G81" t="s">
        <v>61</v>
      </c>
      <c r="H81" t="s">
        <v>63</v>
      </c>
    </row>
    <row r="82" spans="1:8" hidden="1" x14ac:dyDescent="0.25">
      <c r="A82" s="1">
        <v>45901</v>
      </c>
      <c r="B82" s="1">
        <v>45929</v>
      </c>
      <c r="C82">
        <v>4001440</v>
      </c>
      <c r="D82" t="s">
        <v>76</v>
      </c>
      <c r="E82" t="s">
        <v>77</v>
      </c>
      <c r="F82" t="s">
        <v>78</v>
      </c>
      <c r="G82" t="s">
        <v>61</v>
      </c>
      <c r="H82" t="s">
        <v>63</v>
      </c>
    </row>
    <row r="83" spans="1:8" hidden="1" x14ac:dyDescent="0.25">
      <c r="A83" s="1">
        <v>45901</v>
      </c>
      <c r="B83" s="1">
        <v>45929</v>
      </c>
      <c r="C83">
        <v>4009146</v>
      </c>
      <c r="D83" t="s">
        <v>79</v>
      </c>
      <c r="E83" t="s">
        <v>59</v>
      </c>
      <c r="F83" t="s">
        <v>60</v>
      </c>
      <c r="G83" t="s">
        <v>61</v>
      </c>
      <c r="H83" t="s">
        <v>63</v>
      </c>
    </row>
    <row r="84" spans="1:8" hidden="1" x14ac:dyDescent="0.25">
      <c r="A84" s="1">
        <v>45901</v>
      </c>
      <c r="B84" s="1">
        <v>45929</v>
      </c>
      <c r="C84">
        <v>4007500</v>
      </c>
      <c r="D84" t="s">
        <v>80</v>
      </c>
      <c r="E84" t="s">
        <v>69</v>
      </c>
      <c r="F84" t="s">
        <v>70</v>
      </c>
      <c r="G84" t="s">
        <v>61</v>
      </c>
      <c r="H84" t="s">
        <v>63</v>
      </c>
    </row>
    <row r="85" spans="1:8" hidden="1" x14ac:dyDescent="0.25">
      <c r="A85" s="1">
        <v>45901</v>
      </c>
      <c r="B85" s="1">
        <v>45929</v>
      </c>
      <c r="C85">
        <v>5002584</v>
      </c>
      <c r="D85" t="s">
        <v>58</v>
      </c>
      <c r="E85" t="s">
        <v>59</v>
      </c>
      <c r="F85" t="s">
        <v>60</v>
      </c>
      <c r="G85" t="s">
        <v>61</v>
      </c>
      <c r="H85" t="s">
        <v>81</v>
      </c>
    </row>
    <row r="86" spans="1:8" hidden="1" x14ac:dyDescent="0.25">
      <c r="A86" s="1">
        <v>45870</v>
      </c>
      <c r="B86" s="1">
        <v>45894</v>
      </c>
      <c r="C86">
        <v>75524</v>
      </c>
      <c r="D86" t="s">
        <v>63</v>
      </c>
      <c r="E86" t="s">
        <v>64</v>
      </c>
      <c r="F86" t="s">
        <v>65</v>
      </c>
      <c r="G86" t="s">
        <v>61</v>
      </c>
      <c r="H86" t="s">
        <v>66</v>
      </c>
    </row>
    <row r="87" spans="1:8" hidden="1" x14ac:dyDescent="0.25">
      <c r="A87" s="1">
        <v>45870</v>
      </c>
      <c r="B87" s="1">
        <v>45894</v>
      </c>
      <c r="C87">
        <v>54150</v>
      </c>
      <c r="D87" t="s">
        <v>67</v>
      </c>
      <c r="E87" t="s">
        <v>59</v>
      </c>
      <c r="F87" t="s">
        <v>60</v>
      </c>
      <c r="G87" t="s">
        <v>61</v>
      </c>
      <c r="H87" t="s">
        <v>63</v>
      </c>
    </row>
    <row r="88" spans="1:8" hidden="1" x14ac:dyDescent="0.25">
      <c r="A88" s="1">
        <v>45870</v>
      </c>
      <c r="B88" s="1">
        <v>45894</v>
      </c>
      <c r="C88">
        <v>4011539</v>
      </c>
      <c r="D88" t="s">
        <v>68</v>
      </c>
      <c r="E88" t="s">
        <v>69</v>
      </c>
      <c r="F88" t="s">
        <v>70</v>
      </c>
      <c r="G88" t="s">
        <v>61</v>
      </c>
      <c r="H88" t="s">
        <v>63</v>
      </c>
    </row>
    <row r="89" spans="1:8" hidden="1" x14ac:dyDescent="0.25">
      <c r="A89" s="1">
        <v>45870</v>
      </c>
      <c r="B89" s="1">
        <v>45894</v>
      </c>
      <c r="C89">
        <v>5006871</v>
      </c>
      <c r="D89" t="s">
        <v>71</v>
      </c>
      <c r="E89" t="s">
        <v>69</v>
      </c>
      <c r="F89" t="s">
        <v>70</v>
      </c>
      <c r="G89" t="s">
        <v>61</v>
      </c>
      <c r="H89" t="s">
        <v>63</v>
      </c>
    </row>
    <row r="90" spans="1:8" hidden="1" x14ac:dyDescent="0.25">
      <c r="A90" s="1">
        <v>45870</v>
      </c>
      <c r="B90" s="1">
        <v>45894</v>
      </c>
      <c r="C90">
        <v>4000210</v>
      </c>
      <c r="D90" t="s">
        <v>72</v>
      </c>
      <c r="E90" t="s">
        <v>59</v>
      </c>
      <c r="F90" t="s">
        <v>60</v>
      </c>
      <c r="G90" t="s">
        <v>61</v>
      </c>
      <c r="H90" t="s">
        <v>63</v>
      </c>
    </row>
    <row r="91" spans="1:8" hidden="1" x14ac:dyDescent="0.25">
      <c r="A91" s="1">
        <v>45870</v>
      </c>
      <c r="B91" s="1">
        <v>45894</v>
      </c>
      <c r="C91">
        <v>5000976</v>
      </c>
      <c r="D91" t="s">
        <v>73</v>
      </c>
      <c r="E91" t="s">
        <v>69</v>
      </c>
      <c r="F91" t="s">
        <v>70</v>
      </c>
      <c r="G91" t="s">
        <v>61</v>
      </c>
      <c r="H91" t="s">
        <v>63</v>
      </c>
    </row>
    <row r="92" spans="1:8" hidden="1" x14ac:dyDescent="0.25">
      <c r="A92" s="1">
        <v>45870</v>
      </c>
      <c r="B92" s="1">
        <v>45894</v>
      </c>
      <c r="C92">
        <v>5006908</v>
      </c>
      <c r="D92" t="s">
        <v>74</v>
      </c>
      <c r="E92" t="s">
        <v>69</v>
      </c>
      <c r="F92" t="s">
        <v>70</v>
      </c>
      <c r="G92" t="s">
        <v>61</v>
      </c>
      <c r="H92" t="s">
        <v>63</v>
      </c>
    </row>
    <row r="93" spans="1:8" hidden="1" x14ac:dyDescent="0.25">
      <c r="A93" s="1">
        <v>45870</v>
      </c>
      <c r="B93" s="1">
        <v>45894</v>
      </c>
      <c r="C93">
        <v>4007544</v>
      </c>
      <c r="D93" t="s">
        <v>75</v>
      </c>
      <c r="E93" t="s">
        <v>69</v>
      </c>
      <c r="F93" t="s">
        <v>70</v>
      </c>
      <c r="G93" t="s">
        <v>61</v>
      </c>
      <c r="H93" t="s">
        <v>63</v>
      </c>
    </row>
    <row r="94" spans="1:8" hidden="1" x14ac:dyDescent="0.25">
      <c r="A94" s="1">
        <v>45870</v>
      </c>
      <c r="B94" s="1">
        <v>45894</v>
      </c>
      <c r="C94">
        <v>4001440</v>
      </c>
      <c r="D94" t="s">
        <v>76</v>
      </c>
      <c r="E94" t="s">
        <v>77</v>
      </c>
      <c r="F94" t="s">
        <v>78</v>
      </c>
      <c r="G94" t="s">
        <v>61</v>
      </c>
      <c r="H94" t="s">
        <v>63</v>
      </c>
    </row>
    <row r="95" spans="1:8" hidden="1" x14ac:dyDescent="0.25">
      <c r="A95" s="1">
        <v>45870</v>
      </c>
      <c r="B95" s="1">
        <v>45894</v>
      </c>
      <c r="C95">
        <v>4009146</v>
      </c>
      <c r="D95" t="s">
        <v>79</v>
      </c>
      <c r="E95" t="s">
        <v>59</v>
      </c>
      <c r="F95" t="s">
        <v>60</v>
      </c>
      <c r="G95" t="s">
        <v>61</v>
      </c>
      <c r="H95" t="s">
        <v>63</v>
      </c>
    </row>
    <row r="96" spans="1:8" hidden="1" x14ac:dyDescent="0.25">
      <c r="A96" s="1">
        <v>45870</v>
      </c>
      <c r="B96" s="1">
        <v>45894</v>
      </c>
      <c r="C96">
        <v>4007500</v>
      </c>
      <c r="D96" t="s">
        <v>80</v>
      </c>
      <c r="E96" t="s">
        <v>69</v>
      </c>
      <c r="F96" t="s">
        <v>70</v>
      </c>
      <c r="G96" t="s">
        <v>61</v>
      </c>
      <c r="H96" t="s">
        <v>63</v>
      </c>
    </row>
    <row r="97" spans="1:8" hidden="1" x14ac:dyDescent="0.25">
      <c r="A97" s="1">
        <v>45870</v>
      </c>
      <c r="B97" s="1">
        <v>45894</v>
      </c>
      <c r="C97">
        <v>5002584</v>
      </c>
      <c r="D97" t="s">
        <v>58</v>
      </c>
      <c r="E97" t="s">
        <v>59</v>
      </c>
      <c r="F97" t="s">
        <v>60</v>
      </c>
      <c r="G97" t="s">
        <v>61</v>
      </c>
      <c r="H97" t="s">
        <v>82</v>
      </c>
    </row>
    <row r="98" spans="1:8" hidden="1" x14ac:dyDescent="0.25">
      <c r="A98" s="1">
        <v>45839</v>
      </c>
      <c r="B98" s="1">
        <v>45866</v>
      </c>
      <c r="C98">
        <v>75524</v>
      </c>
      <c r="D98" t="s">
        <v>63</v>
      </c>
      <c r="E98" t="s">
        <v>64</v>
      </c>
      <c r="F98" t="s">
        <v>65</v>
      </c>
      <c r="G98" t="s">
        <v>61</v>
      </c>
      <c r="H98" t="s">
        <v>66</v>
      </c>
    </row>
    <row r="99" spans="1:8" hidden="1" x14ac:dyDescent="0.25">
      <c r="A99" s="1">
        <v>45839</v>
      </c>
      <c r="B99" s="1">
        <v>45866</v>
      </c>
      <c r="C99">
        <v>54150</v>
      </c>
      <c r="D99" t="s">
        <v>67</v>
      </c>
      <c r="E99" t="s">
        <v>59</v>
      </c>
      <c r="F99" t="s">
        <v>60</v>
      </c>
      <c r="G99" t="s">
        <v>61</v>
      </c>
      <c r="H99" t="s">
        <v>63</v>
      </c>
    </row>
    <row r="100" spans="1:8" hidden="1" x14ac:dyDescent="0.25">
      <c r="A100" s="1">
        <v>45839</v>
      </c>
      <c r="B100" s="1">
        <v>45866</v>
      </c>
      <c r="C100">
        <v>4011539</v>
      </c>
      <c r="D100" t="s">
        <v>68</v>
      </c>
      <c r="E100" t="s">
        <v>69</v>
      </c>
      <c r="F100" t="s">
        <v>70</v>
      </c>
      <c r="G100" t="s">
        <v>61</v>
      </c>
      <c r="H100" t="s">
        <v>63</v>
      </c>
    </row>
    <row r="101" spans="1:8" hidden="1" x14ac:dyDescent="0.25">
      <c r="A101" s="1">
        <v>45839</v>
      </c>
      <c r="B101" s="1">
        <v>45866</v>
      </c>
      <c r="C101">
        <v>5006871</v>
      </c>
      <c r="D101" t="s">
        <v>71</v>
      </c>
      <c r="E101" t="s">
        <v>69</v>
      </c>
      <c r="F101" t="s">
        <v>70</v>
      </c>
      <c r="G101" t="s">
        <v>61</v>
      </c>
      <c r="H101" t="s">
        <v>63</v>
      </c>
    </row>
    <row r="102" spans="1:8" hidden="1" x14ac:dyDescent="0.25">
      <c r="A102" s="1">
        <v>45839</v>
      </c>
      <c r="B102" s="1">
        <v>45866</v>
      </c>
      <c r="C102">
        <v>4000210</v>
      </c>
      <c r="D102" t="s">
        <v>72</v>
      </c>
      <c r="E102" t="s">
        <v>59</v>
      </c>
      <c r="F102" t="s">
        <v>60</v>
      </c>
      <c r="G102" t="s">
        <v>61</v>
      </c>
      <c r="H102" t="s">
        <v>63</v>
      </c>
    </row>
    <row r="103" spans="1:8" hidden="1" x14ac:dyDescent="0.25">
      <c r="A103" s="1">
        <v>45839</v>
      </c>
      <c r="B103" s="1">
        <v>45866</v>
      </c>
      <c r="C103">
        <v>5000976</v>
      </c>
      <c r="D103" t="s">
        <v>73</v>
      </c>
      <c r="E103" t="s">
        <v>69</v>
      </c>
      <c r="F103" t="s">
        <v>70</v>
      </c>
      <c r="G103" t="s">
        <v>61</v>
      </c>
      <c r="H103" t="s">
        <v>63</v>
      </c>
    </row>
    <row r="104" spans="1:8" hidden="1" x14ac:dyDescent="0.25">
      <c r="A104" s="1">
        <v>45839</v>
      </c>
      <c r="B104" s="1">
        <v>45866</v>
      </c>
      <c r="C104">
        <v>5006908</v>
      </c>
      <c r="D104" t="s">
        <v>74</v>
      </c>
      <c r="E104" t="s">
        <v>69</v>
      </c>
      <c r="F104" t="s">
        <v>70</v>
      </c>
      <c r="G104" t="s">
        <v>61</v>
      </c>
      <c r="H104" t="s">
        <v>63</v>
      </c>
    </row>
    <row r="105" spans="1:8" hidden="1" x14ac:dyDescent="0.25">
      <c r="A105" s="1">
        <v>45839</v>
      </c>
      <c r="B105" s="1">
        <v>45866</v>
      </c>
      <c r="C105">
        <v>4007544</v>
      </c>
      <c r="D105" t="s">
        <v>75</v>
      </c>
      <c r="E105" t="s">
        <v>69</v>
      </c>
      <c r="F105" t="s">
        <v>70</v>
      </c>
      <c r="G105" t="s">
        <v>61</v>
      </c>
      <c r="H105" t="s">
        <v>63</v>
      </c>
    </row>
    <row r="106" spans="1:8" hidden="1" x14ac:dyDescent="0.25">
      <c r="A106" s="1">
        <v>45839</v>
      </c>
      <c r="B106" s="1">
        <v>45866</v>
      </c>
      <c r="C106">
        <v>4001440</v>
      </c>
      <c r="D106" t="s">
        <v>76</v>
      </c>
      <c r="E106" t="s">
        <v>77</v>
      </c>
      <c r="F106" t="s">
        <v>78</v>
      </c>
      <c r="G106" t="s">
        <v>61</v>
      </c>
      <c r="H106" t="s">
        <v>63</v>
      </c>
    </row>
    <row r="107" spans="1:8" hidden="1" x14ac:dyDescent="0.25">
      <c r="A107" s="1">
        <v>45839</v>
      </c>
      <c r="B107" s="1">
        <v>45866</v>
      </c>
      <c r="C107">
        <v>4009146</v>
      </c>
      <c r="D107" t="s">
        <v>79</v>
      </c>
      <c r="E107" t="s">
        <v>59</v>
      </c>
      <c r="F107" t="s">
        <v>60</v>
      </c>
      <c r="G107" t="s">
        <v>61</v>
      </c>
      <c r="H107" t="s">
        <v>63</v>
      </c>
    </row>
    <row r="108" spans="1:8" hidden="1" x14ac:dyDescent="0.25">
      <c r="A108" s="1">
        <v>45839</v>
      </c>
      <c r="B108" s="1">
        <v>45866</v>
      </c>
      <c r="C108">
        <v>4007500</v>
      </c>
      <c r="D108" t="s">
        <v>80</v>
      </c>
      <c r="E108" t="s">
        <v>69</v>
      </c>
      <c r="F108" t="s">
        <v>70</v>
      </c>
      <c r="G108" t="s">
        <v>61</v>
      </c>
      <c r="H108" t="s">
        <v>63</v>
      </c>
    </row>
    <row r="109" spans="1:8" hidden="1" x14ac:dyDescent="0.25">
      <c r="A109" s="1">
        <v>45839</v>
      </c>
      <c r="B109" s="1">
        <v>45866</v>
      </c>
      <c r="C109">
        <v>5002584</v>
      </c>
      <c r="D109" t="s">
        <v>58</v>
      </c>
      <c r="E109" t="s">
        <v>59</v>
      </c>
      <c r="F109" t="s">
        <v>60</v>
      </c>
      <c r="G109" t="s">
        <v>61</v>
      </c>
      <c r="H109" t="s">
        <v>82</v>
      </c>
    </row>
    <row r="110" spans="1:8" hidden="1" x14ac:dyDescent="0.25">
      <c r="A110" s="1">
        <v>45809</v>
      </c>
      <c r="B110" s="1">
        <v>45838</v>
      </c>
      <c r="C110">
        <v>75524</v>
      </c>
      <c r="D110" t="s">
        <v>63</v>
      </c>
      <c r="E110" t="s">
        <v>64</v>
      </c>
      <c r="F110" t="s">
        <v>65</v>
      </c>
      <c r="G110" t="s">
        <v>61</v>
      </c>
      <c r="H110" t="s">
        <v>66</v>
      </c>
    </row>
    <row r="111" spans="1:8" hidden="1" x14ac:dyDescent="0.25">
      <c r="A111" s="1">
        <v>45809</v>
      </c>
      <c r="B111" s="1">
        <v>45838</v>
      </c>
      <c r="C111">
        <v>54150</v>
      </c>
      <c r="D111" t="s">
        <v>67</v>
      </c>
      <c r="E111" t="s">
        <v>59</v>
      </c>
      <c r="F111" t="s">
        <v>60</v>
      </c>
      <c r="G111" t="s">
        <v>61</v>
      </c>
      <c r="H111" t="s">
        <v>63</v>
      </c>
    </row>
    <row r="112" spans="1:8" hidden="1" x14ac:dyDescent="0.25">
      <c r="A112" s="1">
        <v>45809</v>
      </c>
      <c r="B112" s="1">
        <v>45838</v>
      </c>
      <c r="C112">
        <v>4011539</v>
      </c>
      <c r="D112" t="s">
        <v>68</v>
      </c>
      <c r="E112" t="s">
        <v>69</v>
      </c>
      <c r="F112" t="s">
        <v>70</v>
      </c>
      <c r="G112" t="s">
        <v>61</v>
      </c>
      <c r="H112" t="s">
        <v>63</v>
      </c>
    </row>
    <row r="113" spans="1:8" hidden="1" x14ac:dyDescent="0.25">
      <c r="A113" s="1">
        <v>45809</v>
      </c>
      <c r="B113" s="1">
        <v>45838</v>
      </c>
      <c r="C113">
        <v>4000210</v>
      </c>
      <c r="D113" t="s">
        <v>72</v>
      </c>
      <c r="E113" t="s">
        <v>59</v>
      </c>
      <c r="F113" t="s">
        <v>60</v>
      </c>
      <c r="G113" t="s">
        <v>61</v>
      </c>
      <c r="H113" t="s">
        <v>63</v>
      </c>
    </row>
    <row r="114" spans="1:8" hidden="1" x14ac:dyDescent="0.25">
      <c r="A114" s="1">
        <v>45809</v>
      </c>
      <c r="B114" s="1">
        <v>45838</v>
      </c>
      <c r="C114">
        <v>5000976</v>
      </c>
      <c r="D114" t="s">
        <v>73</v>
      </c>
      <c r="E114" t="s">
        <v>69</v>
      </c>
      <c r="F114" t="s">
        <v>70</v>
      </c>
      <c r="G114" t="s">
        <v>61</v>
      </c>
      <c r="H114" t="s">
        <v>63</v>
      </c>
    </row>
    <row r="115" spans="1:8" hidden="1" x14ac:dyDescent="0.25">
      <c r="A115" s="1">
        <v>45809</v>
      </c>
      <c r="B115" s="1">
        <v>45838</v>
      </c>
      <c r="C115">
        <v>4007544</v>
      </c>
      <c r="D115" t="s">
        <v>75</v>
      </c>
      <c r="E115" t="s">
        <v>69</v>
      </c>
      <c r="F115" t="s">
        <v>70</v>
      </c>
      <c r="G115" t="s">
        <v>61</v>
      </c>
      <c r="H115" t="s">
        <v>63</v>
      </c>
    </row>
    <row r="116" spans="1:8" hidden="1" x14ac:dyDescent="0.25">
      <c r="A116" s="1">
        <v>45809</v>
      </c>
      <c r="B116" s="1">
        <v>45838</v>
      </c>
      <c r="C116">
        <v>4001440</v>
      </c>
      <c r="D116" t="s">
        <v>76</v>
      </c>
      <c r="E116" t="s">
        <v>77</v>
      </c>
      <c r="F116" t="s">
        <v>78</v>
      </c>
      <c r="G116" t="s">
        <v>61</v>
      </c>
      <c r="H116" t="s">
        <v>63</v>
      </c>
    </row>
    <row r="117" spans="1:8" hidden="1" x14ac:dyDescent="0.25">
      <c r="A117" s="1">
        <v>45809</v>
      </c>
      <c r="B117" s="1">
        <v>45838</v>
      </c>
      <c r="C117">
        <v>4009146</v>
      </c>
      <c r="D117" t="s">
        <v>79</v>
      </c>
      <c r="E117" t="s">
        <v>59</v>
      </c>
      <c r="F117" t="s">
        <v>60</v>
      </c>
      <c r="G117" t="s">
        <v>61</v>
      </c>
      <c r="H117" t="s">
        <v>63</v>
      </c>
    </row>
    <row r="118" spans="1:8" hidden="1" x14ac:dyDescent="0.25">
      <c r="A118" s="1">
        <v>45809</v>
      </c>
      <c r="B118" s="1">
        <v>45838</v>
      </c>
      <c r="C118">
        <v>4007500</v>
      </c>
      <c r="D118" t="s">
        <v>80</v>
      </c>
      <c r="E118" t="s">
        <v>69</v>
      </c>
      <c r="F118" t="s">
        <v>70</v>
      </c>
      <c r="G118" t="s">
        <v>61</v>
      </c>
      <c r="H118" t="s">
        <v>63</v>
      </c>
    </row>
    <row r="119" spans="1:8" hidden="1" x14ac:dyDescent="0.25">
      <c r="A119" s="1">
        <v>45809</v>
      </c>
      <c r="B119" s="1">
        <v>45838</v>
      </c>
      <c r="C119">
        <v>5002584</v>
      </c>
      <c r="D119" t="s">
        <v>58</v>
      </c>
      <c r="E119" t="s">
        <v>59</v>
      </c>
      <c r="F119" t="s">
        <v>60</v>
      </c>
      <c r="G119" t="s">
        <v>61</v>
      </c>
      <c r="H119" t="s">
        <v>82</v>
      </c>
    </row>
    <row r="120" spans="1:8" hidden="1" x14ac:dyDescent="0.25">
      <c r="A120" s="1">
        <v>45778</v>
      </c>
      <c r="B120" s="1">
        <v>45803</v>
      </c>
      <c r="C120">
        <v>75524</v>
      </c>
      <c r="D120" t="s">
        <v>63</v>
      </c>
      <c r="E120" t="s">
        <v>64</v>
      </c>
      <c r="F120" t="s">
        <v>65</v>
      </c>
      <c r="G120" t="s">
        <v>61</v>
      </c>
      <c r="H120" t="s">
        <v>66</v>
      </c>
    </row>
    <row r="121" spans="1:8" hidden="1" x14ac:dyDescent="0.25">
      <c r="A121" s="1">
        <v>45778</v>
      </c>
      <c r="B121" s="1">
        <v>45803</v>
      </c>
      <c r="C121">
        <v>54150</v>
      </c>
      <c r="D121" t="s">
        <v>67</v>
      </c>
      <c r="E121" t="s">
        <v>59</v>
      </c>
      <c r="F121" t="s">
        <v>60</v>
      </c>
      <c r="G121" t="s">
        <v>61</v>
      </c>
      <c r="H121" t="s">
        <v>63</v>
      </c>
    </row>
    <row r="122" spans="1:8" hidden="1" x14ac:dyDescent="0.25">
      <c r="A122" s="1">
        <v>45778</v>
      </c>
      <c r="B122" s="1">
        <v>45803</v>
      </c>
      <c r="C122">
        <v>4011539</v>
      </c>
      <c r="D122" t="s">
        <v>68</v>
      </c>
      <c r="E122" t="s">
        <v>69</v>
      </c>
      <c r="F122" t="s">
        <v>70</v>
      </c>
      <c r="G122" t="s">
        <v>61</v>
      </c>
      <c r="H122" t="s">
        <v>63</v>
      </c>
    </row>
    <row r="123" spans="1:8" hidden="1" x14ac:dyDescent="0.25">
      <c r="A123" s="1">
        <v>45778</v>
      </c>
      <c r="B123" s="1">
        <v>45803</v>
      </c>
      <c r="C123">
        <v>5002708</v>
      </c>
      <c r="D123" t="s">
        <v>83</v>
      </c>
      <c r="E123" t="s">
        <v>69</v>
      </c>
      <c r="F123" t="s">
        <v>70</v>
      </c>
      <c r="G123" t="s">
        <v>61</v>
      </c>
      <c r="H123" t="s">
        <v>63</v>
      </c>
    </row>
    <row r="124" spans="1:8" hidden="1" x14ac:dyDescent="0.25">
      <c r="A124" s="1">
        <v>45778</v>
      </c>
      <c r="B124" s="1">
        <v>45803</v>
      </c>
      <c r="C124">
        <v>4000210</v>
      </c>
      <c r="D124" t="s">
        <v>72</v>
      </c>
      <c r="E124" t="s">
        <v>59</v>
      </c>
      <c r="F124" t="s">
        <v>60</v>
      </c>
      <c r="G124" t="s">
        <v>61</v>
      </c>
      <c r="H124" t="s">
        <v>63</v>
      </c>
    </row>
    <row r="125" spans="1:8" hidden="1" x14ac:dyDescent="0.25">
      <c r="A125" s="1">
        <v>45778</v>
      </c>
      <c r="B125" s="1">
        <v>45803</v>
      </c>
      <c r="C125">
        <v>5000976</v>
      </c>
      <c r="D125" t="s">
        <v>73</v>
      </c>
      <c r="E125" t="s">
        <v>69</v>
      </c>
      <c r="F125" t="s">
        <v>70</v>
      </c>
      <c r="G125" t="s">
        <v>61</v>
      </c>
      <c r="H125" t="s">
        <v>63</v>
      </c>
    </row>
    <row r="126" spans="1:8" hidden="1" x14ac:dyDescent="0.25">
      <c r="A126" s="1">
        <v>45778</v>
      </c>
      <c r="B126" s="1">
        <v>45803</v>
      </c>
      <c r="C126">
        <v>4007544</v>
      </c>
      <c r="D126" t="s">
        <v>75</v>
      </c>
      <c r="E126" t="s">
        <v>69</v>
      </c>
      <c r="F126" t="s">
        <v>70</v>
      </c>
      <c r="G126" t="s">
        <v>61</v>
      </c>
      <c r="H126" t="s">
        <v>63</v>
      </c>
    </row>
    <row r="127" spans="1:8" hidden="1" x14ac:dyDescent="0.25">
      <c r="A127" s="1">
        <v>45778</v>
      </c>
      <c r="B127" s="1">
        <v>45803</v>
      </c>
      <c r="C127">
        <v>4001440</v>
      </c>
      <c r="D127" t="s">
        <v>76</v>
      </c>
      <c r="E127" t="s">
        <v>77</v>
      </c>
      <c r="F127" t="s">
        <v>78</v>
      </c>
      <c r="G127" t="s">
        <v>61</v>
      </c>
      <c r="H127" t="s">
        <v>63</v>
      </c>
    </row>
    <row r="128" spans="1:8" hidden="1" x14ac:dyDescent="0.25">
      <c r="A128" s="1">
        <v>45778</v>
      </c>
      <c r="B128" s="1">
        <v>45803</v>
      </c>
      <c r="C128">
        <v>4009146</v>
      </c>
      <c r="D128" t="s">
        <v>79</v>
      </c>
      <c r="E128" t="s">
        <v>59</v>
      </c>
      <c r="F128" t="s">
        <v>60</v>
      </c>
      <c r="G128" t="s">
        <v>61</v>
      </c>
      <c r="H128" t="s">
        <v>63</v>
      </c>
    </row>
    <row r="129" spans="1:8" hidden="1" x14ac:dyDescent="0.25">
      <c r="A129" s="1">
        <v>45778</v>
      </c>
      <c r="B129" s="1">
        <v>45803</v>
      </c>
      <c r="C129">
        <v>4007500</v>
      </c>
      <c r="D129" t="s">
        <v>80</v>
      </c>
      <c r="E129" t="s">
        <v>69</v>
      </c>
      <c r="F129" t="s">
        <v>70</v>
      </c>
      <c r="G129" t="s">
        <v>61</v>
      </c>
      <c r="H129" t="s">
        <v>63</v>
      </c>
    </row>
    <row r="130" spans="1:8" hidden="1" x14ac:dyDescent="0.25">
      <c r="A130" s="1">
        <v>45778</v>
      </c>
      <c r="B130" s="1">
        <v>45803</v>
      </c>
      <c r="C130">
        <v>4011538</v>
      </c>
      <c r="D130" t="s">
        <v>84</v>
      </c>
      <c r="E130" t="s">
        <v>69</v>
      </c>
      <c r="F130" t="s">
        <v>70</v>
      </c>
      <c r="G130" t="s">
        <v>61</v>
      </c>
      <c r="H130" t="s">
        <v>63</v>
      </c>
    </row>
    <row r="131" spans="1:8" hidden="1" x14ac:dyDescent="0.25">
      <c r="A131" s="1">
        <v>45778</v>
      </c>
      <c r="B131" s="1">
        <v>45803</v>
      </c>
      <c r="C131">
        <v>5002584</v>
      </c>
      <c r="D131" t="s">
        <v>58</v>
      </c>
      <c r="E131" t="s">
        <v>59</v>
      </c>
      <c r="F131" t="s">
        <v>60</v>
      </c>
      <c r="G131" t="s">
        <v>61</v>
      </c>
      <c r="H131" t="s">
        <v>82</v>
      </c>
    </row>
    <row r="132" spans="1:8" hidden="1" x14ac:dyDescent="0.25">
      <c r="A132" s="1">
        <v>45748</v>
      </c>
      <c r="B132" s="1">
        <v>45775</v>
      </c>
      <c r="C132">
        <v>75524</v>
      </c>
      <c r="D132" t="s">
        <v>63</v>
      </c>
      <c r="E132" t="s">
        <v>64</v>
      </c>
      <c r="F132" t="s">
        <v>65</v>
      </c>
      <c r="G132" t="s">
        <v>61</v>
      </c>
      <c r="H132" t="s">
        <v>66</v>
      </c>
    </row>
    <row r="133" spans="1:8" hidden="1" x14ac:dyDescent="0.25">
      <c r="A133" s="1">
        <v>45748</v>
      </c>
      <c r="B133" s="1">
        <v>45775</v>
      </c>
      <c r="C133">
        <v>54150</v>
      </c>
      <c r="D133" t="s">
        <v>67</v>
      </c>
      <c r="E133" t="s">
        <v>59</v>
      </c>
      <c r="F133" t="s">
        <v>60</v>
      </c>
      <c r="G133" t="s">
        <v>61</v>
      </c>
      <c r="H133" t="s">
        <v>63</v>
      </c>
    </row>
    <row r="134" spans="1:8" hidden="1" x14ac:dyDescent="0.25">
      <c r="A134" s="1">
        <v>45748</v>
      </c>
      <c r="B134" s="1">
        <v>45775</v>
      </c>
      <c r="C134">
        <v>4011539</v>
      </c>
      <c r="D134" t="s">
        <v>68</v>
      </c>
      <c r="E134" t="s">
        <v>69</v>
      </c>
      <c r="F134" t="s">
        <v>70</v>
      </c>
      <c r="G134" t="s">
        <v>61</v>
      </c>
      <c r="H134" t="s">
        <v>63</v>
      </c>
    </row>
    <row r="135" spans="1:8" hidden="1" x14ac:dyDescent="0.25">
      <c r="A135" s="1">
        <v>45748</v>
      </c>
      <c r="B135" s="1">
        <v>45775</v>
      </c>
      <c r="C135">
        <v>4006563</v>
      </c>
      <c r="D135" t="s">
        <v>85</v>
      </c>
      <c r="E135" t="s">
        <v>69</v>
      </c>
      <c r="F135" t="s">
        <v>70</v>
      </c>
      <c r="G135" t="s">
        <v>61</v>
      </c>
      <c r="H135" t="s">
        <v>63</v>
      </c>
    </row>
    <row r="136" spans="1:8" hidden="1" x14ac:dyDescent="0.25">
      <c r="A136" s="1">
        <v>45748</v>
      </c>
      <c r="B136" s="1">
        <v>45775</v>
      </c>
      <c r="C136">
        <v>5002708</v>
      </c>
      <c r="D136" t="s">
        <v>83</v>
      </c>
      <c r="E136" t="s">
        <v>69</v>
      </c>
      <c r="F136" t="s">
        <v>70</v>
      </c>
      <c r="G136" t="s">
        <v>61</v>
      </c>
      <c r="H136" t="s">
        <v>63</v>
      </c>
    </row>
    <row r="137" spans="1:8" hidden="1" x14ac:dyDescent="0.25">
      <c r="A137" s="1">
        <v>45748</v>
      </c>
      <c r="B137" s="1">
        <v>45775</v>
      </c>
      <c r="C137">
        <v>4000210</v>
      </c>
      <c r="D137" t="s">
        <v>72</v>
      </c>
      <c r="E137" t="s">
        <v>59</v>
      </c>
      <c r="F137" t="s">
        <v>60</v>
      </c>
      <c r="G137" t="s">
        <v>61</v>
      </c>
      <c r="H137" t="s">
        <v>63</v>
      </c>
    </row>
    <row r="138" spans="1:8" hidden="1" x14ac:dyDescent="0.25">
      <c r="A138" s="1">
        <v>45748</v>
      </c>
      <c r="B138" s="1">
        <v>45775</v>
      </c>
      <c r="C138">
        <v>5000976</v>
      </c>
      <c r="D138" t="s">
        <v>73</v>
      </c>
      <c r="E138" t="s">
        <v>69</v>
      </c>
      <c r="F138" t="s">
        <v>70</v>
      </c>
      <c r="G138" t="s">
        <v>61</v>
      </c>
      <c r="H138" t="s">
        <v>63</v>
      </c>
    </row>
    <row r="139" spans="1:8" hidden="1" x14ac:dyDescent="0.25">
      <c r="A139" s="1">
        <v>45748</v>
      </c>
      <c r="B139" s="1">
        <v>45775</v>
      </c>
      <c r="C139">
        <v>4007544</v>
      </c>
      <c r="D139" t="s">
        <v>75</v>
      </c>
      <c r="E139" t="s">
        <v>69</v>
      </c>
      <c r="F139" t="s">
        <v>70</v>
      </c>
      <c r="G139" t="s">
        <v>61</v>
      </c>
      <c r="H139" t="s">
        <v>63</v>
      </c>
    </row>
    <row r="140" spans="1:8" hidden="1" x14ac:dyDescent="0.25">
      <c r="A140" s="1">
        <v>45748</v>
      </c>
      <c r="B140" s="1">
        <v>45775</v>
      </c>
      <c r="C140">
        <v>4001440</v>
      </c>
      <c r="D140" t="s">
        <v>76</v>
      </c>
      <c r="E140" t="s">
        <v>77</v>
      </c>
      <c r="F140" t="s">
        <v>78</v>
      </c>
      <c r="G140" t="s">
        <v>61</v>
      </c>
      <c r="H140" t="s">
        <v>63</v>
      </c>
    </row>
    <row r="141" spans="1:8" hidden="1" x14ac:dyDescent="0.25">
      <c r="A141" s="1">
        <v>45748</v>
      </c>
      <c r="B141" s="1">
        <v>45775</v>
      </c>
      <c r="C141">
        <v>4009146</v>
      </c>
      <c r="D141" t="s">
        <v>79</v>
      </c>
      <c r="E141" t="s">
        <v>59</v>
      </c>
      <c r="F141" t="s">
        <v>60</v>
      </c>
      <c r="G141" t="s">
        <v>61</v>
      </c>
      <c r="H141" t="s">
        <v>63</v>
      </c>
    </row>
    <row r="142" spans="1:8" hidden="1" x14ac:dyDescent="0.25">
      <c r="A142" s="1">
        <v>45748</v>
      </c>
      <c r="B142" s="1">
        <v>45775</v>
      </c>
      <c r="C142">
        <v>4007500</v>
      </c>
      <c r="D142" t="s">
        <v>80</v>
      </c>
      <c r="E142" t="s">
        <v>69</v>
      </c>
      <c r="F142" t="s">
        <v>70</v>
      </c>
      <c r="G142" t="s">
        <v>61</v>
      </c>
      <c r="H142" t="s">
        <v>63</v>
      </c>
    </row>
    <row r="143" spans="1:8" hidden="1" x14ac:dyDescent="0.25">
      <c r="A143" s="1">
        <v>45748</v>
      </c>
      <c r="B143" s="1">
        <v>45775</v>
      </c>
      <c r="C143">
        <v>4011538</v>
      </c>
      <c r="D143" t="s">
        <v>84</v>
      </c>
      <c r="E143" t="s">
        <v>69</v>
      </c>
      <c r="F143" t="s">
        <v>70</v>
      </c>
      <c r="G143" t="s">
        <v>61</v>
      </c>
      <c r="H143" t="s">
        <v>63</v>
      </c>
    </row>
    <row r="144" spans="1:8" hidden="1" x14ac:dyDescent="0.25">
      <c r="A144" s="1">
        <v>45748</v>
      </c>
      <c r="B144" s="1">
        <v>45775</v>
      </c>
      <c r="C144">
        <v>5002584</v>
      </c>
      <c r="D144" t="s">
        <v>58</v>
      </c>
      <c r="E144" t="s">
        <v>59</v>
      </c>
      <c r="F144" t="s">
        <v>60</v>
      </c>
      <c r="G144" t="s">
        <v>61</v>
      </c>
      <c r="H144" t="s">
        <v>82</v>
      </c>
    </row>
    <row r="145" spans="1:8" hidden="1" x14ac:dyDescent="0.25">
      <c r="A145" s="1">
        <v>45717</v>
      </c>
      <c r="B145" s="1">
        <v>45747</v>
      </c>
      <c r="C145">
        <v>75524</v>
      </c>
      <c r="D145" t="s">
        <v>63</v>
      </c>
      <c r="E145" t="s">
        <v>64</v>
      </c>
      <c r="F145" t="s">
        <v>65</v>
      </c>
      <c r="G145" t="s">
        <v>61</v>
      </c>
      <c r="H145" t="s">
        <v>66</v>
      </c>
    </row>
    <row r="146" spans="1:8" hidden="1" x14ac:dyDescent="0.25">
      <c r="A146" s="1">
        <v>45717</v>
      </c>
      <c r="B146" s="1">
        <v>45747</v>
      </c>
      <c r="C146">
        <v>54150</v>
      </c>
      <c r="D146" t="s">
        <v>67</v>
      </c>
      <c r="E146" t="s">
        <v>59</v>
      </c>
      <c r="F146" t="s">
        <v>60</v>
      </c>
      <c r="G146" t="s">
        <v>61</v>
      </c>
      <c r="H146" t="s">
        <v>63</v>
      </c>
    </row>
    <row r="147" spans="1:8" hidden="1" x14ac:dyDescent="0.25">
      <c r="A147" s="1">
        <v>45717</v>
      </c>
      <c r="B147" s="1">
        <v>45747</v>
      </c>
      <c r="C147">
        <v>4011539</v>
      </c>
      <c r="D147" t="s">
        <v>68</v>
      </c>
      <c r="E147" t="s">
        <v>69</v>
      </c>
      <c r="F147" t="s">
        <v>70</v>
      </c>
      <c r="G147" t="s">
        <v>61</v>
      </c>
      <c r="H147" t="s">
        <v>63</v>
      </c>
    </row>
    <row r="148" spans="1:8" hidden="1" x14ac:dyDescent="0.25">
      <c r="A148" s="1">
        <v>45717</v>
      </c>
      <c r="B148" s="1">
        <v>45747</v>
      </c>
      <c r="C148">
        <v>4006563</v>
      </c>
      <c r="D148" t="s">
        <v>85</v>
      </c>
      <c r="E148" t="s">
        <v>69</v>
      </c>
      <c r="F148" t="s">
        <v>70</v>
      </c>
      <c r="G148" t="s">
        <v>61</v>
      </c>
      <c r="H148" t="s">
        <v>63</v>
      </c>
    </row>
    <row r="149" spans="1:8" hidden="1" x14ac:dyDescent="0.25">
      <c r="A149" s="1">
        <v>45717</v>
      </c>
      <c r="B149" s="1">
        <v>45747</v>
      </c>
      <c r="C149">
        <v>5002708</v>
      </c>
      <c r="D149" t="s">
        <v>83</v>
      </c>
      <c r="E149" t="s">
        <v>69</v>
      </c>
      <c r="F149" t="s">
        <v>70</v>
      </c>
      <c r="G149" t="s">
        <v>61</v>
      </c>
      <c r="H149" t="s">
        <v>63</v>
      </c>
    </row>
    <row r="150" spans="1:8" hidden="1" x14ac:dyDescent="0.25">
      <c r="A150" s="1">
        <v>45717</v>
      </c>
      <c r="B150" s="1">
        <v>45747</v>
      </c>
      <c r="C150">
        <v>4000210</v>
      </c>
      <c r="D150" t="s">
        <v>72</v>
      </c>
      <c r="E150" t="s">
        <v>59</v>
      </c>
      <c r="F150" t="s">
        <v>60</v>
      </c>
      <c r="G150" t="s">
        <v>61</v>
      </c>
      <c r="H150" t="s">
        <v>63</v>
      </c>
    </row>
    <row r="151" spans="1:8" hidden="1" x14ac:dyDescent="0.25">
      <c r="A151" s="1">
        <v>45717</v>
      </c>
      <c r="B151" s="1">
        <v>45747</v>
      </c>
      <c r="C151">
        <v>5000976</v>
      </c>
      <c r="D151" t="s">
        <v>73</v>
      </c>
      <c r="E151" t="s">
        <v>69</v>
      </c>
      <c r="F151" t="s">
        <v>70</v>
      </c>
      <c r="G151" t="s">
        <v>61</v>
      </c>
      <c r="H151" t="s">
        <v>63</v>
      </c>
    </row>
    <row r="152" spans="1:8" hidden="1" x14ac:dyDescent="0.25">
      <c r="A152" s="1">
        <v>45717</v>
      </c>
      <c r="B152" s="1">
        <v>45747</v>
      </c>
      <c r="C152">
        <v>4007544</v>
      </c>
      <c r="D152" t="s">
        <v>75</v>
      </c>
      <c r="E152" t="s">
        <v>69</v>
      </c>
      <c r="F152" t="s">
        <v>70</v>
      </c>
      <c r="G152" t="s">
        <v>61</v>
      </c>
      <c r="H152" t="s">
        <v>63</v>
      </c>
    </row>
    <row r="153" spans="1:8" hidden="1" x14ac:dyDescent="0.25">
      <c r="A153" s="1">
        <v>45717</v>
      </c>
      <c r="B153" s="1">
        <v>45747</v>
      </c>
      <c r="C153">
        <v>4001440</v>
      </c>
      <c r="D153" t="s">
        <v>76</v>
      </c>
      <c r="E153" t="s">
        <v>77</v>
      </c>
      <c r="F153" t="s">
        <v>78</v>
      </c>
      <c r="G153" t="s">
        <v>61</v>
      </c>
      <c r="H153" t="s">
        <v>63</v>
      </c>
    </row>
    <row r="154" spans="1:8" hidden="1" x14ac:dyDescent="0.25">
      <c r="A154" s="1">
        <v>45717</v>
      </c>
      <c r="B154" s="1">
        <v>45747</v>
      </c>
      <c r="C154">
        <v>4009146</v>
      </c>
      <c r="D154" t="s">
        <v>79</v>
      </c>
      <c r="E154" t="s">
        <v>59</v>
      </c>
      <c r="F154" t="s">
        <v>60</v>
      </c>
      <c r="G154" t="s">
        <v>61</v>
      </c>
      <c r="H154" t="s">
        <v>63</v>
      </c>
    </row>
    <row r="155" spans="1:8" hidden="1" x14ac:dyDescent="0.25">
      <c r="A155" s="1">
        <v>45717</v>
      </c>
      <c r="B155" s="1">
        <v>45747</v>
      </c>
      <c r="C155">
        <v>4007500</v>
      </c>
      <c r="D155" t="s">
        <v>80</v>
      </c>
      <c r="E155" t="s">
        <v>69</v>
      </c>
      <c r="F155" t="s">
        <v>70</v>
      </c>
      <c r="G155" t="s">
        <v>61</v>
      </c>
      <c r="H155" t="s">
        <v>63</v>
      </c>
    </row>
    <row r="156" spans="1:8" hidden="1" x14ac:dyDescent="0.25">
      <c r="A156" s="1">
        <v>45717</v>
      </c>
      <c r="B156" s="1">
        <v>45747</v>
      </c>
      <c r="C156">
        <v>4011538</v>
      </c>
      <c r="D156" t="s">
        <v>84</v>
      </c>
      <c r="E156" t="s">
        <v>69</v>
      </c>
      <c r="F156" t="s">
        <v>70</v>
      </c>
      <c r="G156" t="s">
        <v>61</v>
      </c>
      <c r="H156" t="s">
        <v>63</v>
      </c>
    </row>
    <row r="157" spans="1:8" hidden="1" x14ac:dyDescent="0.25">
      <c r="A157" s="1">
        <v>45717</v>
      </c>
      <c r="B157" s="1">
        <v>45747</v>
      </c>
      <c r="C157">
        <v>5002584</v>
      </c>
      <c r="D157" t="s">
        <v>58</v>
      </c>
      <c r="E157" t="s">
        <v>59</v>
      </c>
      <c r="F157" t="s">
        <v>60</v>
      </c>
      <c r="G157" t="s">
        <v>61</v>
      </c>
      <c r="H157" t="s">
        <v>82</v>
      </c>
    </row>
    <row r="158" spans="1:8" hidden="1" x14ac:dyDescent="0.25">
      <c r="A158" s="1">
        <v>45689</v>
      </c>
      <c r="B158" s="1">
        <v>45712</v>
      </c>
      <c r="C158">
        <v>75524</v>
      </c>
      <c r="D158" t="s">
        <v>63</v>
      </c>
      <c r="E158" t="s">
        <v>64</v>
      </c>
      <c r="F158" t="s">
        <v>65</v>
      </c>
      <c r="G158" t="s">
        <v>61</v>
      </c>
      <c r="H158" t="s">
        <v>66</v>
      </c>
    </row>
    <row r="159" spans="1:8" hidden="1" x14ac:dyDescent="0.25">
      <c r="A159" s="1">
        <v>45689</v>
      </c>
      <c r="B159" s="1">
        <v>45712</v>
      </c>
      <c r="C159">
        <v>54150</v>
      </c>
      <c r="D159" t="s">
        <v>67</v>
      </c>
      <c r="E159" t="s">
        <v>59</v>
      </c>
      <c r="F159" t="s">
        <v>60</v>
      </c>
      <c r="G159" t="s">
        <v>61</v>
      </c>
      <c r="H159" t="s">
        <v>63</v>
      </c>
    </row>
    <row r="160" spans="1:8" hidden="1" x14ac:dyDescent="0.25">
      <c r="A160" s="1">
        <v>45689</v>
      </c>
      <c r="B160" s="1">
        <v>45712</v>
      </c>
      <c r="C160">
        <v>4011539</v>
      </c>
      <c r="D160" t="s">
        <v>68</v>
      </c>
      <c r="E160" t="s">
        <v>69</v>
      </c>
      <c r="F160" t="s">
        <v>70</v>
      </c>
      <c r="G160" t="s">
        <v>61</v>
      </c>
      <c r="H160" t="s">
        <v>63</v>
      </c>
    </row>
    <row r="161" spans="1:8" hidden="1" x14ac:dyDescent="0.25">
      <c r="A161" s="1">
        <v>45689</v>
      </c>
      <c r="B161" s="1">
        <v>45712</v>
      </c>
      <c r="C161">
        <v>4006563</v>
      </c>
      <c r="D161" t="s">
        <v>85</v>
      </c>
      <c r="E161" t="s">
        <v>69</v>
      </c>
      <c r="F161" t="s">
        <v>70</v>
      </c>
      <c r="G161" t="s">
        <v>61</v>
      </c>
      <c r="H161" t="s">
        <v>63</v>
      </c>
    </row>
    <row r="162" spans="1:8" hidden="1" x14ac:dyDescent="0.25">
      <c r="A162" s="1">
        <v>45689</v>
      </c>
      <c r="B162" s="1">
        <v>45712</v>
      </c>
      <c r="C162">
        <v>5002708</v>
      </c>
      <c r="D162" t="s">
        <v>83</v>
      </c>
      <c r="E162" t="s">
        <v>69</v>
      </c>
      <c r="F162" t="s">
        <v>70</v>
      </c>
      <c r="G162" t="s">
        <v>61</v>
      </c>
      <c r="H162" t="s">
        <v>63</v>
      </c>
    </row>
    <row r="163" spans="1:8" hidden="1" x14ac:dyDescent="0.25">
      <c r="A163" s="1">
        <v>45689</v>
      </c>
      <c r="B163" s="1">
        <v>45712</v>
      </c>
      <c r="C163">
        <v>4000210</v>
      </c>
      <c r="D163" t="s">
        <v>72</v>
      </c>
      <c r="E163" t="s">
        <v>59</v>
      </c>
      <c r="F163" t="s">
        <v>60</v>
      </c>
      <c r="G163" t="s">
        <v>61</v>
      </c>
      <c r="H163" t="s">
        <v>63</v>
      </c>
    </row>
    <row r="164" spans="1:8" hidden="1" x14ac:dyDescent="0.25">
      <c r="A164" s="1">
        <v>45689</v>
      </c>
      <c r="B164" s="1">
        <v>45712</v>
      </c>
      <c r="C164">
        <v>5000976</v>
      </c>
      <c r="D164" t="s">
        <v>73</v>
      </c>
      <c r="E164" t="s">
        <v>69</v>
      </c>
      <c r="F164" t="s">
        <v>70</v>
      </c>
      <c r="G164" t="s">
        <v>61</v>
      </c>
      <c r="H164" t="s">
        <v>63</v>
      </c>
    </row>
    <row r="165" spans="1:8" hidden="1" x14ac:dyDescent="0.25">
      <c r="A165" s="1">
        <v>45689</v>
      </c>
      <c r="B165" s="1">
        <v>45712</v>
      </c>
      <c r="C165">
        <v>4007544</v>
      </c>
      <c r="D165" t="s">
        <v>75</v>
      </c>
      <c r="E165" t="s">
        <v>69</v>
      </c>
      <c r="F165" t="s">
        <v>70</v>
      </c>
      <c r="G165" t="s">
        <v>61</v>
      </c>
      <c r="H165" t="s">
        <v>63</v>
      </c>
    </row>
    <row r="166" spans="1:8" hidden="1" x14ac:dyDescent="0.25">
      <c r="A166" s="1">
        <v>45689</v>
      </c>
      <c r="B166" s="1">
        <v>45712</v>
      </c>
      <c r="C166">
        <v>4001440</v>
      </c>
      <c r="D166" t="s">
        <v>76</v>
      </c>
      <c r="E166" t="s">
        <v>77</v>
      </c>
      <c r="F166" t="s">
        <v>78</v>
      </c>
      <c r="G166" t="s">
        <v>61</v>
      </c>
      <c r="H166" t="s">
        <v>63</v>
      </c>
    </row>
    <row r="167" spans="1:8" hidden="1" x14ac:dyDescent="0.25">
      <c r="A167" s="1">
        <v>45689</v>
      </c>
      <c r="B167" s="1">
        <v>45712</v>
      </c>
      <c r="C167">
        <v>4009146</v>
      </c>
      <c r="D167" t="s">
        <v>79</v>
      </c>
      <c r="E167" t="s">
        <v>59</v>
      </c>
      <c r="F167" t="s">
        <v>60</v>
      </c>
      <c r="G167" t="s">
        <v>61</v>
      </c>
      <c r="H167" t="s">
        <v>63</v>
      </c>
    </row>
    <row r="168" spans="1:8" hidden="1" x14ac:dyDescent="0.25">
      <c r="A168" s="1">
        <v>45689</v>
      </c>
      <c r="B168" s="1">
        <v>45712</v>
      </c>
      <c r="C168">
        <v>4007500</v>
      </c>
      <c r="D168" t="s">
        <v>80</v>
      </c>
      <c r="E168" t="s">
        <v>69</v>
      </c>
      <c r="F168" t="s">
        <v>70</v>
      </c>
      <c r="G168" t="s">
        <v>61</v>
      </c>
      <c r="H168" t="s">
        <v>63</v>
      </c>
    </row>
    <row r="169" spans="1:8" hidden="1" x14ac:dyDescent="0.25">
      <c r="A169" s="1">
        <v>45689</v>
      </c>
      <c r="B169" s="1">
        <v>45712</v>
      </c>
      <c r="C169">
        <v>4011538</v>
      </c>
      <c r="D169" t="s">
        <v>84</v>
      </c>
      <c r="E169" t="s">
        <v>69</v>
      </c>
      <c r="F169" t="s">
        <v>70</v>
      </c>
      <c r="G169" t="s">
        <v>61</v>
      </c>
      <c r="H169" t="s">
        <v>63</v>
      </c>
    </row>
    <row r="170" spans="1:8" hidden="1" x14ac:dyDescent="0.25">
      <c r="A170" s="1">
        <v>45689</v>
      </c>
      <c r="B170" s="1">
        <v>45712</v>
      </c>
      <c r="C170">
        <v>5002584</v>
      </c>
      <c r="D170" t="s">
        <v>58</v>
      </c>
      <c r="E170" t="s">
        <v>59</v>
      </c>
      <c r="F170" t="s">
        <v>60</v>
      </c>
      <c r="G170" t="s">
        <v>61</v>
      </c>
      <c r="H170" t="s">
        <v>82</v>
      </c>
    </row>
    <row r="171" spans="1:8" hidden="1" x14ac:dyDescent="0.25">
      <c r="A171" s="1">
        <v>45658</v>
      </c>
      <c r="B171" s="1">
        <v>45684</v>
      </c>
      <c r="C171">
        <v>75524</v>
      </c>
      <c r="D171" t="s">
        <v>63</v>
      </c>
      <c r="E171" t="s">
        <v>64</v>
      </c>
      <c r="F171" t="s">
        <v>65</v>
      </c>
      <c r="G171" t="s">
        <v>61</v>
      </c>
      <c r="H171" t="s">
        <v>66</v>
      </c>
    </row>
    <row r="172" spans="1:8" hidden="1" x14ac:dyDescent="0.25">
      <c r="A172" s="1">
        <v>45658</v>
      </c>
      <c r="B172" s="1">
        <v>45684</v>
      </c>
      <c r="C172">
        <v>54150</v>
      </c>
      <c r="D172" t="s">
        <v>67</v>
      </c>
      <c r="E172" t="s">
        <v>59</v>
      </c>
      <c r="F172" t="s">
        <v>60</v>
      </c>
      <c r="G172" t="s">
        <v>61</v>
      </c>
      <c r="H172" t="s">
        <v>63</v>
      </c>
    </row>
    <row r="173" spans="1:8" hidden="1" x14ac:dyDescent="0.25">
      <c r="A173" s="1">
        <v>45658</v>
      </c>
      <c r="B173" s="1">
        <v>45684</v>
      </c>
      <c r="C173">
        <v>4011539</v>
      </c>
      <c r="D173" t="s">
        <v>68</v>
      </c>
      <c r="E173" t="s">
        <v>69</v>
      </c>
      <c r="F173" t="s">
        <v>70</v>
      </c>
      <c r="G173" t="s">
        <v>61</v>
      </c>
      <c r="H173" t="s">
        <v>63</v>
      </c>
    </row>
    <row r="174" spans="1:8" hidden="1" x14ac:dyDescent="0.25">
      <c r="A174" s="1">
        <v>45658</v>
      </c>
      <c r="B174" s="1">
        <v>45684</v>
      </c>
      <c r="C174">
        <v>4006563</v>
      </c>
      <c r="D174" t="s">
        <v>85</v>
      </c>
      <c r="E174" t="s">
        <v>69</v>
      </c>
      <c r="F174" t="s">
        <v>70</v>
      </c>
      <c r="G174" t="s">
        <v>61</v>
      </c>
      <c r="H174" t="s">
        <v>63</v>
      </c>
    </row>
    <row r="175" spans="1:8" hidden="1" x14ac:dyDescent="0.25">
      <c r="A175" s="1">
        <v>45658</v>
      </c>
      <c r="B175" s="1">
        <v>45684</v>
      </c>
      <c r="C175">
        <v>5002708</v>
      </c>
      <c r="D175" t="s">
        <v>83</v>
      </c>
      <c r="E175" t="s">
        <v>69</v>
      </c>
      <c r="F175" t="s">
        <v>70</v>
      </c>
      <c r="G175" t="s">
        <v>61</v>
      </c>
      <c r="H175" t="s">
        <v>63</v>
      </c>
    </row>
    <row r="176" spans="1:8" hidden="1" x14ac:dyDescent="0.25">
      <c r="A176" s="1">
        <v>45658</v>
      </c>
      <c r="B176" s="1">
        <v>45684</v>
      </c>
      <c r="C176">
        <v>4000210</v>
      </c>
      <c r="D176" t="s">
        <v>72</v>
      </c>
      <c r="E176" t="s">
        <v>59</v>
      </c>
      <c r="F176" t="s">
        <v>60</v>
      </c>
      <c r="G176" t="s">
        <v>61</v>
      </c>
      <c r="H176" t="s">
        <v>63</v>
      </c>
    </row>
    <row r="177" spans="1:8" hidden="1" x14ac:dyDescent="0.25">
      <c r="A177" s="1">
        <v>45658</v>
      </c>
      <c r="B177" s="1">
        <v>45684</v>
      </c>
      <c r="C177">
        <v>5000976</v>
      </c>
      <c r="D177" t="s">
        <v>73</v>
      </c>
      <c r="E177" t="s">
        <v>69</v>
      </c>
      <c r="F177" t="s">
        <v>70</v>
      </c>
      <c r="G177" t="s">
        <v>61</v>
      </c>
      <c r="H177" t="s">
        <v>63</v>
      </c>
    </row>
    <row r="178" spans="1:8" hidden="1" x14ac:dyDescent="0.25">
      <c r="A178" s="1">
        <v>45658</v>
      </c>
      <c r="B178" s="1">
        <v>45684</v>
      </c>
      <c r="C178">
        <v>4007544</v>
      </c>
      <c r="D178" t="s">
        <v>75</v>
      </c>
      <c r="E178" t="s">
        <v>69</v>
      </c>
      <c r="F178" t="s">
        <v>70</v>
      </c>
      <c r="G178" t="s">
        <v>61</v>
      </c>
      <c r="H178" t="s">
        <v>63</v>
      </c>
    </row>
    <row r="179" spans="1:8" hidden="1" x14ac:dyDescent="0.25">
      <c r="A179" s="1">
        <v>45658</v>
      </c>
      <c r="B179" s="1">
        <v>45684</v>
      </c>
      <c r="C179">
        <v>4001440</v>
      </c>
      <c r="D179" t="s">
        <v>76</v>
      </c>
      <c r="E179" t="s">
        <v>77</v>
      </c>
      <c r="F179" t="s">
        <v>78</v>
      </c>
      <c r="G179" t="s">
        <v>61</v>
      </c>
      <c r="H179" t="s">
        <v>63</v>
      </c>
    </row>
    <row r="180" spans="1:8" hidden="1" x14ac:dyDescent="0.25">
      <c r="A180" s="1">
        <v>45658</v>
      </c>
      <c r="B180" s="1">
        <v>45684</v>
      </c>
      <c r="C180">
        <v>4009146</v>
      </c>
      <c r="D180" t="s">
        <v>79</v>
      </c>
      <c r="E180" t="s">
        <v>59</v>
      </c>
      <c r="F180" t="s">
        <v>60</v>
      </c>
      <c r="G180" t="s">
        <v>61</v>
      </c>
      <c r="H180" t="s">
        <v>63</v>
      </c>
    </row>
    <row r="181" spans="1:8" hidden="1" x14ac:dyDescent="0.25">
      <c r="A181" s="1">
        <v>45658</v>
      </c>
      <c r="B181" s="1">
        <v>45684</v>
      </c>
      <c r="C181">
        <v>4007500</v>
      </c>
      <c r="D181" t="s">
        <v>80</v>
      </c>
      <c r="E181" t="s">
        <v>69</v>
      </c>
      <c r="F181" t="s">
        <v>70</v>
      </c>
      <c r="G181" t="s">
        <v>61</v>
      </c>
      <c r="H181" t="s">
        <v>63</v>
      </c>
    </row>
    <row r="182" spans="1:8" hidden="1" x14ac:dyDescent="0.25">
      <c r="A182" s="1">
        <v>45658</v>
      </c>
      <c r="B182" s="1">
        <v>45684</v>
      </c>
      <c r="C182">
        <v>4011538</v>
      </c>
      <c r="D182" t="s">
        <v>84</v>
      </c>
      <c r="E182" t="s">
        <v>69</v>
      </c>
      <c r="F182" t="s">
        <v>70</v>
      </c>
      <c r="G182" t="s">
        <v>61</v>
      </c>
      <c r="H182" t="s">
        <v>63</v>
      </c>
    </row>
    <row r="183" spans="1:8" hidden="1" x14ac:dyDescent="0.25">
      <c r="A183" s="1">
        <v>45658</v>
      </c>
      <c r="B183" s="1">
        <v>45684</v>
      </c>
      <c r="C183">
        <v>5002584</v>
      </c>
      <c r="D183" t="s">
        <v>58</v>
      </c>
      <c r="E183" t="s">
        <v>59</v>
      </c>
      <c r="F183" t="s">
        <v>60</v>
      </c>
      <c r="G183" t="s">
        <v>61</v>
      </c>
      <c r="H183" t="s">
        <v>82</v>
      </c>
    </row>
  </sheetData>
  <autoFilter ref="A1:H183" xr:uid="{6F58BB6A-541F-4391-B05F-FDB2CEC9D330}">
    <filterColumn colId="0">
      <filters>
        <dateGroupItem year="2026" month="2" dateTimeGrouping="month"/>
      </filters>
    </filterColumn>
    <filterColumn colId="3">
      <filters>
        <filter val="Benjamin Langford"/>
        <filter val="Chrisnel Lesperance"/>
        <filter val="Joncarlos Angel"/>
        <filter val="Kevin Holmes"/>
        <filter val="Keyven Dodson"/>
        <filter val="Nikola Zecevic"/>
        <filter val="Richard Pierre"/>
        <filter val="Thomas Lowe"/>
        <filter val="Tim Martin"/>
      </filters>
    </filterColumn>
    <filterColumn colId="4">
      <filters>
        <filter val="Associate, Technical Customer Care"/>
        <filter val="Sr Associate, Technical Customer Care"/>
      </filters>
    </filterColumn>
    <sortState xmlns:xlrd2="http://schemas.microsoft.com/office/spreadsheetml/2017/richdata2" ref="A14:H25">
      <sortCondition ref="E1:E183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D941-D933-4A0F-BD49-4B85F96A63B3}">
  <sheetPr codeName="Sheet3"/>
  <dimension ref="A1:M140"/>
  <sheetViews>
    <sheetView topLeftCell="A31" workbookViewId="0">
      <selection activeCell="H75" sqref="H75"/>
    </sheetView>
  </sheetViews>
  <sheetFormatPr defaultRowHeight="15" x14ac:dyDescent="0.25"/>
  <cols>
    <col min="1" max="1" width="9.42578125" bestFit="1" customWidth="1"/>
    <col min="2" max="5" width="10.7109375" bestFit="1" customWidth="1"/>
    <col min="6" max="6" width="6.5703125" bestFit="1" customWidth="1"/>
    <col min="7" max="7" width="13.140625" bestFit="1" customWidth="1"/>
    <col min="8" max="8" width="65" bestFit="1" customWidth="1"/>
    <col min="9" max="9" width="10.42578125" bestFit="1" customWidth="1"/>
    <col min="10" max="10" width="96" bestFit="1" customWidth="1"/>
    <col min="11" max="11" width="11.5703125" bestFit="1" customWidth="1"/>
    <col min="12" max="12" width="6.42578125" bestFit="1" customWidth="1"/>
    <col min="13" max="13" width="14.5703125" bestFit="1" customWidth="1"/>
  </cols>
  <sheetData>
    <row r="1" spans="1:13" x14ac:dyDescent="0.25">
      <c r="A1" t="s">
        <v>99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</row>
    <row r="2" spans="1:13" x14ac:dyDescent="0.25">
      <c r="A2" s="1">
        <v>46023</v>
      </c>
      <c r="B2" t="s">
        <v>32</v>
      </c>
      <c r="C2" t="s">
        <v>38</v>
      </c>
      <c r="D2" t="s">
        <v>38</v>
      </c>
      <c r="E2" t="s">
        <v>32</v>
      </c>
      <c r="F2" t="s">
        <v>34</v>
      </c>
      <c r="G2" t="s">
        <v>107</v>
      </c>
      <c r="H2" t="s">
        <v>108</v>
      </c>
      <c r="I2">
        <v>-730</v>
      </c>
      <c r="J2" t="s">
        <v>123</v>
      </c>
      <c r="K2" t="s">
        <v>109</v>
      </c>
      <c r="L2" t="s">
        <v>110</v>
      </c>
      <c r="M2" s="8">
        <v>46063.674502314818</v>
      </c>
    </row>
    <row r="3" spans="1:13" x14ac:dyDescent="0.25">
      <c r="A3" s="1">
        <v>46054</v>
      </c>
      <c r="B3" t="s">
        <v>32</v>
      </c>
      <c r="C3" t="s">
        <v>38</v>
      </c>
      <c r="D3" t="s">
        <v>38</v>
      </c>
      <c r="E3" t="s">
        <v>32</v>
      </c>
      <c r="F3" t="s">
        <v>34</v>
      </c>
      <c r="G3" t="s">
        <v>107</v>
      </c>
      <c r="H3" t="s">
        <v>108</v>
      </c>
      <c r="I3">
        <v>-280</v>
      </c>
      <c r="J3" t="s">
        <v>123</v>
      </c>
      <c r="K3" t="s">
        <v>109</v>
      </c>
      <c r="L3" t="s">
        <v>110</v>
      </c>
      <c r="M3" s="8">
        <v>46063.674502314818</v>
      </c>
    </row>
    <row r="4" spans="1:13" x14ac:dyDescent="0.25">
      <c r="A4" s="1">
        <v>46082</v>
      </c>
      <c r="B4" t="s">
        <v>32</v>
      </c>
      <c r="C4" t="s">
        <v>38</v>
      </c>
      <c r="D4" t="s">
        <v>38</v>
      </c>
      <c r="E4" t="s">
        <v>32</v>
      </c>
      <c r="F4" t="s">
        <v>34</v>
      </c>
      <c r="G4" t="s">
        <v>107</v>
      </c>
      <c r="H4" t="s">
        <v>108</v>
      </c>
      <c r="I4">
        <v>-280</v>
      </c>
      <c r="J4" t="s">
        <v>123</v>
      </c>
      <c r="K4" t="s">
        <v>109</v>
      </c>
      <c r="L4" t="s">
        <v>110</v>
      </c>
      <c r="M4" s="8">
        <v>46063.674502314818</v>
      </c>
    </row>
    <row r="5" spans="1:13" x14ac:dyDescent="0.25">
      <c r="A5" s="1">
        <v>46113</v>
      </c>
      <c r="B5" t="s">
        <v>32</v>
      </c>
      <c r="C5" t="s">
        <v>38</v>
      </c>
      <c r="D5" t="s">
        <v>38</v>
      </c>
      <c r="E5" t="s">
        <v>32</v>
      </c>
      <c r="F5" t="s">
        <v>34</v>
      </c>
      <c r="G5" t="s">
        <v>107</v>
      </c>
      <c r="H5" t="s">
        <v>108</v>
      </c>
      <c r="I5">
        <v>-280</v>
      </c>
      <c r="J5" t="s">
        <v>123</v>
      </c>
      <c r="K5" t="s">
        <v>109</v>
      </c>
      <c r="L5" t="s">
        <v>110</v>
      </c>
      <c r="M5" s="8">
        <v>46063.674502314818</v>
      </c>
    </row>
    <row r="6" spans="1:13" x14ac:dyDescent="0.25">
      <c r="A6" s="1">
        <v>46143</v>
      </c>
      <c r="B6" t="s">
        <v>32</v>
      </c>
      <c r="C6" t="s">
        <v>38</v>
      </c>
      <c r="D6" t="s">
        <v>38</v>
      </c>
      <c r="E6" t="s">
        <v>32</v>
      </c>
      <c r="F6" t="s">
        <v>34</v>
      </c>
      <c r="G6" t="s">
        <v>107</v>
      </c>
      <c r="H6" t="s">
        <v>108</v>
      </c>
      <c r="I6">
        <v>-280</v>
      </c>
      <c r="J6" t="s">
        <v>123</v>
      </c>
      <c r="K6" t="s">
        <v>109</v>
      </c>
      <c r="L6" t="s">
        <v>110</v>
      </c>
      <c r="M6" s="8">
        <v>46063.674502314818</v>
      </c>
    </row>
    <row r="7" spans="1:13" x14ac:dyDescent="0.25">
      <c r="A7" s="1">
        <v>46174</v>
      </c>
      <c r="B7" t="s">
        <v>32</v>
      </c>
      <c r="C7" t="s">
        <v>38</v>
      </c>
      <c r="D7" t="s">
        <v>38</v>
      </c>
      <c r="E7" t="s">
        <v>32</v>
      </c>
      <c r="F7" t="s">
        <v>34</v>
      </c>
      <c r="G7" t="s">
        <v>107</v>
      </c>
      <c r="H7" t="s">
        <v>108</v>
      </c>
      <c r="I7">
        <v>-280</v>
      </c>
      <c r="J7" t="s">
        <v>123</v>
      </c>
      <c r="K7" t="s">
        <v>109</v>
      </c>
      <c r="L7" t="s">
        <v>110</v>
      </c>
      <c r="M7" s="8">
        <v>46063.674502314818</v>
      </c>
    </row>
    <row r="8" spans="1:13" x14ac:dyDescent="0.25">
      <c r="A8" s="1">
        <v>46204</v>
      </c>
      <c r="B8" t="s">
        <v>32</v>
      </c>
      <c r="C8" t="s">
        <v>38</v>
      </c>
      <c r="D8" t="s">
        <v>38</v>
      </c>
      <c r="E8" t="s">
        <v>32</v>
      </c>
      <c r="F8" t="s">
        <v>34</v>
      </c>
      <c r="G8" t="s">
        <v>107</v>
      </c>
      <c r="H8" t="s">
        <v>108</v>
      </c>
      <c r="I8">
        <v>-280</v>
      </c>
      <c r="J8" t="s">
        <v>123</v>
      </c>
      <c r="K8" t="s">
        <v>109</v>
      </c>
      <c r="L8" t="s">
        <v>110</v>
      </c>
      <c r="M8" s="8">
        <v>46063.674502314818</v>
      </c>
    </row>
    <row r="9" spans="1:13" x14ac:dyDescent="0.25">
      <c r="A9" s="1">
        <v>46235</v>
      </c>
      <c r="B9" t="s">
        <v>32</v>
      </c>
      <c r="C9" t="s">
        <v>38</v>
      </c>
      <c r="D9" t="s">
        <v>38</v>
      </c>
      <c r="E9" t="s">
        <v>32</v>
      </c>
      <c r="F9" t="s">
        <v>34</v>
      </c>
      <c r="G9" t="s">
        <v>107</v>
      </c>
      <c r="H9" t="s">
        <v>108</v>
      </c>
      <c r="I9">
        <v>-280</v>
      </c>
      <c r="J9" t="s">
        <v>123</v>
      </c>
      <c r="K9" t="s">
        <v>109</v>
      </c>
      <c r="L9" t="s">
        <v>110</v>
      </c>
      <c r="M9" s="8">
        <v>46063.674502314818</v>
      </c>
    </row>
    <row r="10" spans="1:13" x14ac:dyDescent="0.25">
      <c r="A10" s="1">
        <v>46266</v>
      </c>
      <c r="B10" t="s">
        <v>32</v>
      </c>
      <c r="C10" t="s">
        <v>38</v>
      </c>
      <c r="D10" t="s">
        <v>38</v>
      </c>
      <c r="E10" t="s">
        <v>32</v>
      </c>
      <c r="F10" t="s">
        <v>34</v>
      </c>
      <c r="G10" t="s">
        <v>107</v>
      </c>
      <c r="H10" t="s">
        <v>108</v>
      </c>
      <c r="I10">
        <v>-280</v>
      </c>
      <c r="J10" t="s">
        <v>123</v>
      </c>
      <c r="K10" t="s">
        <v>109</v>
      </c>
      <c r="L10" t="s">
        <v>110</v>
      </c>
      <c r="M10" s="8">
        <v>46063.674502314818</v>
      </c>
    </row>
    <row r="11" spans="1:13" x14ac:dyDescent="0.25">
      <c r="A11" s="1">
        <v>46296</v>
      </c>
      <c r="B11" t="s">
        <v>32</v>
      </c>
      <c r="C11" t="s">
        <v>38</v>
      </c>
      <c r="D11" t="s">
        <v>38</v>
      </c>
      <c r="E11" t="s">
        <v>32</v>
      </c>
      <c r="F11" t="s">
        <v>34</v>
      </c>
      <c r="G11" t="s">
        <v>107</v>
      </c>
      <c r="H11" t="s">
        <v>108</v>
      </c>
      <c r="I11">
        <v>-280</v>
      </c>
      <c r="J11" t="s">
        <v>123</v>
      </c>
      <c r="K11" t="s">
        <v>109</v>
      </c>
      <c r="L11" t="s">
        <v>110</v>
      </c>
      <c r="M11" s="8">
        <v>46063.674502314818</v>
      </c>
    </row>
    <row r="12" spans="1:13" x14ac:dyDescent="0.25">
      <c r="A12" s="1">
        <v>46327</v>
      </c>
      <c r="B12" t="s">
        <v>32</v>
      </c>
      <c r="C12" t="s">
        <v>38</v>
      </c>
      <c r="D12" t="s">
        <v>38</v>
      </c>
      <c r="E12" t="s">
        <v>32</v>
      </c>
      <c r="F12" t="s">
        <v>34</v>
      </c>
      <c r="G12" t="s">
        <v>107</v>
      </c>
      <c r="H12" t="s">
        <v>108</v>
      </c>
      <c r="I12">
        <v>-280</v>
      </c>
      <c r="J12" t="s">
        <v>123</v>
      </c>
      <c r="K12" t="s">
        <v>109</v>
      </c>
      <c r="L12" t="s">
        <v>110</v>
      </c>
      <c r="M12" s="8">
        <v>46063.674502314818</v>
      </c>
    </row>
    <row r="13" spans="1:13" x14ac:dyDescent="0.25">
      <c r="A13" s="1">
        <v>46357</v>
      </c>
      <c r="B13" t="s">
        <v>32</v>
      </c>
      <c r="C13" t="s">
        <v>38</v>
      </c>
      <c r="D13" t="s">
        <v>38</v>
      </c>
      <c r="E13" t="s">
        <v>32</v>
      </c>
      <c r="F13" t="s">
        <v>34</v>
      </c>
      <c r="G13" t="s">
        <v>107</v>
      </c>
      <c r="H13" t="s">
        <v>108</v>
      </c>
      <c r="I13">
        <v>-280</v>
      </c>
      <c r="J13" t="s">
        <v>123</v>
      </c>
      <c r="K13" t="s">
        <v>109</v>
      </c>
      <c r="L13" t="s">
        <v>110</v>
      </c>
      <c r="M13" s="8">
        <v>46063.674502314818</v>
      </c>
    </row>
    <row r="14" spans="1:13" x14ac:dyDescent="0.25">
      <c r="A14" s="1">
        <v>46023</v>
      </c>
      <c r="B14" t="s">
        <v>32</v>
      </c>
      <c r="C14" t="s">
        <v>38</v>
      </c>
      <c r="D14" t="s">
        <v>38</v>
      </c>
      <c r="E14" t="s">
        <v>32</v>
      </c>
      <c r="F14" t="s">
        <v>34</v>
      </c>
      <c r="G14" t="s">
        <v>111</v>
      </c>
      <c r="H14" t="s">
        <v>112</v>
      </c>
      <c r="I14">
        <v>0</v>
      </c>
      <c r="J14" t="s">
        <v>113</v>
      </c>
      <c r="K14" t="s">
        <v>109</v>
      </c>
      <c r="L14" t="s">
        <v>110</v>
      </c>
      <c r="M14" s="8">
        <v>46063.674502314818</v>
      </c>
    </row>
    <row r="15" spans="1:13" x14ac:dyDescent="0.25">
      <c r="A15" s="1">
        <v>46054</v>
      </c>
      <c r="B15" t="s">
        <v>32</v>
      </c>
      <c r="C15" t="s">
        <v>38</v>
      </c>
      <c r="D15" t="s">
        <v>38</v>
      </c>
      <c r="E15" t="s">
        <v>32</v>
      </c>
      <c r="F15" t="s">
        <v>34</v>
      </c>
      <c r="G15" t="s">
        <v>111</v>
      </c>
      <c r="H15" t="s">
        <v>112</v>
      </c>
      <c r="I15">
        <v>0</v>
      </c>
      <c r="J15" t="s">
        <v>113</v>
      </c>
      <c r="K15" t="s">
        <v>109</v>
      </c>
      <c r="L15" t="s">
        <v>110</v>
      </c>
      <c r="M15" s="8">
        <v>46063.674502314818</v>
      </c>
    </row>
    <row r="16" spans="1:13" x14ac:dyDescent="0.25">
      <c r="A16" s="1">
        <v>46082</v>
      </c>
      <c r="B16" t="s">
        <v>32</v>
      </c>
      <c r="C16" t="s">
        <v>38</v>
      </c>
      <c r="D16" t="s">
        <v>38</v>
      </c>
      <c r="E16" t="s">
        <v>32</v>
      </c>
      <c r="F16" t="s">
        <v>34</v>
      </c>
      <c r="G16" t="s">
        <v>111</v>
      </c>
      <c r="H16" t="s">
        <v>112</v>
      </c>
      <c r="I16">
        <v>0</v>
      </c>
      <c r="J16" t="s">
        <v>113</v>
      </c>
      <c r="K16" t="s">
        <v>109</v>
      </c>
      <c r="L16" t="s">
        <v>110</v>
      </c>
      <c r="M16" s="8">
        <v>46063.674502314818</v>
      </c>
    </row>
    <row r="17" spans="1:13" x14ac:dyDescent="0.25">
      <c r="A17" s="1">
        <v>46113</v>
      </c>
      <c r="B17" t="s">
        <v>32</v>
      </c>
      <c r="C17" t="s">
        <v>38</v>
      </c>
      <c r="D17" t="s">
        <v>38</v>
      </c>
      <c r="E17" t="s">
        <v>32</v>
      </c>
      <c r="F17" t="s">
        <v>34</v>
      </c>
      <c r="G17" t="s">
        <v>111</v>
      </c>
      <c r="H17" t="s">
        <v>112</v>
      </c>
      <c r="I17">
        <v>0</v>
      </c>
      <c r="J17" t="s">
        <v>113</v>
      </c>
      <c r="K17" t="s">
        <v>109</v>
      </c>
      <c r="L17" t="s">
        <v>110</v>
      </c>
      <c r="M17" s="8">
        <v>46063.674502314818</v>
      </c>
    </row>
    <row r="18" spans="1:13" x14ac:dyDescent="0.25">
      <c r="A18" s="1">
        <v>46143</v>
      </c>
      <c r="B18" t="s">
        <v>32</v>
      </c>
      <c r="C18" t="s">
        <v>38</v>
      </c>
      <c r="D18" t="s">
        <v>38</v>
      </c>
      <c r="E18" t="s">
        <v>32</v>
      </c>
      <c r="F18" t="s">
        <v>34</v>
      </c>
      <c r="G18" t="s">
        <v>111</v>
      </c>
      <c r="H18" t="s">
        <v>112</v>
      </c>
      <c r="I18">
        <v>320</v>
      </c>
      <c r="J18" t="s">
        <v>114</v>
      </c>
      <c r="K18" t="s">
        <v>109</v>
      </c>
      <c r="L18" t="s">
        <v>110</v>
      </c>
      <c r="M18" s="8">
        <v>46063.674502314818</v>
      </c>
    </row>
    <row r="19" spans="1:13" x14ac:dyDescent="0.25">
      <c r="A19" s="1">
        <v>46174</v>
      </c>
      <c r="B19" t="s">
        <v>32</v>
      </c>
      <c r="C19" t="s">
        <v>38</v>
      </c>
      <c r="D19" t="s">
        <v>38</v>
      </c>
      <c r="E19" t="s">
        <v>32</v>
      </c>
      <c r="F19" t="s">
        <v>34</v>
      </c>
      <c r="G19" t="s">
        <v>111</v>
      </c>
      <c r="H19" t="s">
        <v>112</v>
      </c>
      <c r="I19">
        <v>320</v>
      </c>
      <c r="J19" t="s">
        <v>114</v>
      </c>
      <c r="K19" t="s">
        <v>109</v>
      </c>
      <c r="L19" t="s">
        <v>110</v>
      </c>
      <c r="M19" s="8">
        <v>46063.674502314818</v>
      </c>
    </row>
    <row r="20" spans="1:13" x14ac:dyDescent="0.25">
      <c r="A20" s="1">
        <v>46204</v>
      </c>
      <c r="B20" t="s">
        <v>32</v>
      </c>
      <c r="C20" t="s">
        <v>38</v>
      </c>
      <c r="D20" t="s">
        <v>38</v>
      </c>
      <c r="E20" t="s">
        <v>32</v>
      </c>
      <c r="F20" t="s">
        <v>34</v>
      </c>
      <c r="G20" t="s">
        <v>111</v>
      </c>
      <c r="H20" t="s">
        <v>112</v>
      </c>
      <c r="I20">
        <v>210</v>
      </c>
      <c r="J20" t="s">
        <v>114</v>
      </c>
      <c r="K20" t="s">
        <v>109</v>
      </c>
      <c r="L20" t="s">
        <v>110</v>
      </c>
      <c r="M20" s="8">
        <v>46063.674502314818</v>
      </c>
    </row>
    <row r="21" spans="1:13" x14ac:dyDescent="0.25">
      <c r="A21" s="1">
        <v>46235</v>
      </c>
      <c r="B21" t="s">
        <v>32</v>
      </c>
      <c r="C21" t="s">
        <v>38</v>
      </c>
      <c r="D21" t="s">
        <v>38</v>
      </c>
      <c r="E21" t="s">
        <v>32</v>
      </c>
      <c r="F21" t="s">
        <v>34</v>
      </c>
      <c r="G21" t="s">
        <v>111</v>
      </c>
      <c r="H21" t="s">
        <v>112</v>
      </c>
      <c r="I21">
        <v>220</v>
      </c>
      <c r="J21" t="s">
        <v>114</v>
      </c>
      <c r="K21" t="s">
        <v>109</v>
      </c>
      <c r="L21" t="s">
        <v>110</v>
      </c>
      <c r="M21" s="8">
        <v>46063.674502314818</v>
      </c>
    </row>
    <row r="22" spans="1:13" x14ac:dyDescent="0.25">
      <c r="A22" s="1">
        <v>46266</v>
      </c>
      <c r="B22" t="s">
        <v>32</v>
      </c>
      <c r="C22" t="s">
        <v>38</v>
      </c>
      <c r="D22" t="s">
        <v>38</v>
      </c>
      <c r="E22" t="s">
        <v>32</v>
      </c>
      <c r="F22" t="s">
        <v>34</v>
      </c>
      <c r="G22" t="s">
        <v>111</v>
      </c>
      <c r="H22" t="s">
        <v>112</v>
      </c>
      <c r="I22">
        <v>344</v>
      </c>
      <c r="J22" t="s">
        <v>114</v>
      </c>
      <c r="K22" t="s">
        <v>109</v>
      </c>
      <c r="L22" t="s">
        <v>110</v>
      </c>
      <c r="M22" s="8">
        <v>46063.674502314818</v>
      </c>
    </row>
    <row r="23" spans="1:13" x14ac:dyDescent="0.25">
      <c r="A23" s="1">
        <v>46296</v>
      </c>
      <c r="B23" t="s">
        <v>32</v>
      </c>
      <c r="C23" t="s">
        <v>38</v>
      </c>
      <c r="D23" t="s">
        <v>38</v>
      </c>
      <c r="E23" t="s">
        <v>32</v>
      </c>
      <c r="F23" t="s">
        <v>34</v>
      </c>
      <c r="G23" t="s">
        <v>111</v>
      </c>
      <c r="H23" t="s">
        <v>112</v>
      </c>
      <c r="I23">
        <v>210</v>
      </c>
      <c r="J23" t="s">
        <v>114</v>
      </c>
      <c r="K23" t="s">
        <v>109</v>
      </c>
      <c r="L23" t="s">
        <v>110</v>
      </c>
      <c r="M23" s="8">
        <v>46063.674502314818</v>
      </c>
    </row>
    <row r="24" spans="1:13" x14ac:dyDescent="0.25">
      <c r="A24" s="1">
        <v>46327</v>
      </c>
      <c r="B24" t="s">
        <v>32</v>
      </c>
      <c r="C24" t="s">
        <v>38</v>
      </c>
      <c r="D24" t="s">
        <v>38</v>
      </c>
      <c r="E24" t="s">
        <v>32</v>
      </c>
      <c r="F24" t="s">
        <v>34</v>
      </c>
      <c r="G24" t="s">
        <v>111</v>
      </c>
      <c r="H24" t="s">
        <v>112</v>
      </c>
      <c r="I24">
        <v>200</v>
      </c>
      <c r="J24" t="s">
        <v>114</v>
      </c>
      <c r="K24" t="s">
        <v>109</v>
      </c>
      <c r="L24" t="s">
        <v>110</v>
      </c>
      <c r="M24" s="8">
        <v>46063.674502314818</v>
      </c>
    </row>
    <row r="25" spans="1:13" x14ac:dyDescent="0.25">
      <c r="A25" s="1">
        <v>46357</v>
      </c>
      <c r="B25" t="s">
        <v>32</v>
      </c>
      <c r="C25" t="s">
        <v>38</v>
      </c>
      <c r="D25" t="s">
        <v>38</v>
      </c>
      <c r="E25" t="s">
        <v>32</v>
      </c>
      <c r="F25" t="s">
        <v>34</v>
      </c>
      <c r="G25" t="s">
        <v>111</v>
      </c>
      <c r="H25" t="s">
        <v>112</v>
      </c>
      <c r="I25">
        <v>382</v>
      </c>
      <c r="J25" t="s">
        <v>114</v>
      </c>
      <c r="K25" t="s">
        <v>109</v>
      </c>
      <c r="L25" t="s">
        <v>110</v>
      </c>
      <c r="M25" s="8">
        <v>46063.674502314818</v>
      </c>
    </row>
    <row r="26" spans="1:13" x14ac:dyDescent="0.25">
      <c r="A26" s="1">
        <v>46023</v>
      </c>
      <c r="B26" t="s">
        <v>32</v>
      </c>
      <c r="C26" t="s">
        <v>32</v>
      </c>
      <c r="D26" t="s">
        <v>32</v>
      </c>
      <c r="E26" t="s">
        <v>32</v>
      </c>
      <c r="F26" t="s">
        <v>35</v>
      </c>
      <c r="G26" t="s">
        <v>111</v>
      </c>
      <c r="H26" t="s">
        <v>112</v>
      </c>
      <c r="I26">
        <v>0</v>
      </c>
      <c r="J26" t="s">
        <v>113</v>
      </c>
      <c r="K26" t="s">
        <v>109</v>
      </c>
      <c r="L26" t="s">
        <v>110</v>
      </c>
      <c r="M26" s="8">
        <v>46063.674502314818</v>
      </c>
    </row>
    <row r="27" spans="1:13" x14ac:dyDescent="0.25">
      <c r="A27" s="1">
        <v>46054</v>
      </c>
      <c r="B27" t="s">
        <v>32</v>
      </c>
      <c r="C27" t="s">
        <v>32</v>
      </c>
      <c r="D27" t="s">
        <v>32</v>
      </c>
      <c r="E27" t="s">
        <v>32</v>
      </c>
      <c r="F27" t="s">
        <v>35</v>
      </c>
      <c r="G27" t="s">
        <v>111</v>
      </c>
      <c r="H27" t="s">
        <v>112</v>
      </c>
      <c r="I27">
        <v>0</v>
      </c>
      <c r="J27" t="s">
        <v>113</v>
      </c>
      <c r="K27" t="s">
        <v>109</v>
      </c>
      <c r="L27" t="s">
        <v>110</v>
      </c>
      <c r="M27" s="8">
        <v>46063.674502314818</v>
      </c>
    </row>
    <row r="28" spans="1:13" x14ac:dyDescent="0.25">
      <c r="A28" s="1">
        <v>46082</v>
      </c>
      <c r="B28" t="s">
        <v>32</v>
      </c>
      <c r="C28" t="s">
        <v>32</v>
      </c>
      <c r="D28" t="s">
        <v>32</v>
      </c>
      <c r="E28" t="s">
        <v>32</v>
      </c>
      <c r="F28" t="s">
        <v>35</v>
      </c>
      <c r="G28" t="s">
        <v>111</v>
      </c>
      <c r="H28" t="s">
        <v>112</v>
      </c>
      <c r="I28">
        <v>0</v>
      </c>
      <c r="J28" t="s">
        <v>113</v>
      </c>
      <c r="K28" t="s">
        <v>109</v>
      </c>
      <c r="L28" t="s">
        <v>110</v>
      </c>
      <c r="M28" s="8">
        <v>46063.674502314818</v>
      </c>
    </row>
    <row r="29" spans="1:13" x14ac:dyDescent="0.25">
      <c r="A29" s="1">
        <v>46113</v>
      </c>
      <c r="B29" t="s">
        <v>32</v>
      </c>
      <c r="C29" t="s">
        <v>32</v>
      </c>
      <c r="D29" t="s">
        <v>32</v>
      </c>
      <c r="E29" t="s">
        <v>32</v>
      </c>
      <c r="F29" t="s">
        <v>35</v>
      </c>
      <c r="G29" t="s">
        <v>111</v>
      </c>
      <c r="H29" t="s">
        <v>112</v>
      </c>
      <c r="I29">
        <v>0</v>
      </c>
      <c r="J29" t="s">
        <v>113</v>
      </c>
      <c r="K29" t="s">
        <v>109</v>
      </c>
      <c r="L29" t="s">
        <v>110</v>
      </c>
      <c r="M29" s="8">
        <v>46063.674502314818</v>
      </c>
    </row>
    <row r="30" spans="1:13" x14ac:dyDescent="0.25">
      <c r="A30" s="1">
        <v>46143</v>
      </c>
      <c r="B30" t="s">
        <v>32</v>
      </c>
      <c r="C30" t="s">
        <v>32</v>
      </c>
      <c r="D30" t="s">
        <v>32</v>
      </c>
      <c r="E30" t="s">
        <v>32</v>
      </c>
      <c r="F30" t="s">
        <v>35</v>
      </c>
      <c r="G30" t="s">
        <v>111</v>
      </c>
      <c r="H30" t="s">
        <v>112</v>
      </c>
      <c r="I30">
        <v>35</v>
      </c>
      <c r="J30" t="s">
        <v>115</v>
      </c>
      <c r="K30" t="s">
        <v>109</v>
      </c>
      <c r="L30" t="s">
        <v>110</v>
      </c>
      <c r="M30" s="8">
        <v>46063.674502314818</v>
      </c>
    </row>
    <row r="31" spans="1:13" x14ac:dyDescent="0.25">
      <c r="A31" s="1">
        <v>46174</v>
      </c>
      <c r="B31" t="s">
        <v>32</v>
      </c>
      <c r="C31" t="s">
        <v>32</v>
      </c>
      <c r="D31" t="s">
        <v>32</v>
      </c>
      <c r="E31" t="s">
        <v>32</v>
      </c>
      <c r="F31" t="s">
        <v>35</v>
      </c>
      <c r="G31" t="s">
        <v>111</v>
      </c>
      <c r="H31" t="s">
        <v>112</v>
      </c>
      <c r="I31">
        <v>43</v>
      </c>
      <c r="J31" t="s">
        <v>115</v>
      </c>
      <c r="K31" t="s">
        <v>109</v>
      </c>
      <c r="L31" t="s">
        <v>110</v>
      </c>
      <c r="M31" s="8">
        <v>46063.674502314818</v>
      </c>
    </row>
    <row r="32" spans="1:13" x14ac:dyDescent="0.25">
      <c r="A32" s="1">
        <v>46204</v>
      </c>
      <c r="B32" t="s">
        <v>32</v>
      </c>
      <c r="C32" t="s">
        <v>32</v>
      </c>
      <c r="D32" t="s">
        <v>32</v>
      </c>
      <c r="E32" t="s">
        <v>32</v>
      </c>
      <c r="F32" t="s">
        <v>35</v>
      </c>
      <c r="G32" t="s">
        <v>111</v>
      </c>
      <c r="H32" t="s">
        <v>112</v>
      </c>
      <c r="I32">
        <v>21</v>
      </c>
      <c r="J32" t="s">
        <v>115</v>
      </c>
      <c r="K32" t="s">
        <v>109</v>
      </c>
      <c r="L32" t="s">
        <v>110</v>
      </c>
      <c r="M32" s="8">
        <v>46063.674502314818</v>
      </c>
    </row>
    <row r="33" spans="1:13" x14ac:dyDescent="0.25">
      <c r="A33" s="1">
        <v>46235</v>
      </c>
      <c r="B33" t="s">
        <v>32</v>
      </c>
      <c r="C33" t="s">
        <v>32</v>
      </c>
      <c r="D33" t="s">
        <v>32</v>
      </c>
      <c r="E33" t="s">
        <v>32</v>
      </c>
      <c r="F33" t="s">
        <v>35</v>
      </c>
      <c r="G33" t="s">
        <v>111</v>
      </c>
      <c r="H33" t="s">
        <v>112</v>
      </c>
      <c r="I33">
        <v>26</v>
      </c>
      <c r="J33" t="s">
        <v>115</v>
      </c>
      <c r="K33" t="s">
        <v>109</v>
      </c>
      <c r="L33" t="s">
        <v>110</v>
      </c>
      <c r="M33" s="8">
        <v>46063.674502314818</v>
      </c>
    </row>
    <row r="34" spans="1:13" x14ac:dyDescent="0.25">
      <c r="A34" s="1">
        <v>46266</v>
      </c>
      <c r="B34" t="s">
        <v>32</v>
      </c>
      <c r="C34" t="s">
        <v>32</v>
      </c>
      <c r="D34" t="s">
        <v>32</v>
      </c>
      <c r="E34" t="s">
        <v>32</v>
      </c>
      <c r="F34" t="s">
        <v>35</v>
      </c>
      <c r="G34" t="s">
        <v>111</v>
      </c>
      <c r="H34" t="s">
        <v>112</v>
      </c>
      <c r="I34">
        <v>25</v>
      </c>
      <c r="J34" t="s">
        <v>115</v>
      </c>
      <c r="K34" t="s">
        <v>109</v>
      </c>
      <c r="L34" t="s">
        <v>110</v>
      </c>
      <c r="M34" s="8">
        <v>46063.674502314818</v>
      </c>
    </row>
    <row r="35" spans="1:13" x14ac:dyDescent="0.25">
      <c r="A35" s="1">
        <v>46296</v>
      </c>
      <c r="B35" t="s">
        <v>32</v>
      </c>
      <c r="C35" t="s">
        <v>32</v>
      </c>
      <c r="D35" t="s">
        <v>32</v>
      </c>
      <c r="E35" t="s">
        <v>32</v>
      </c>
      <c r="F35" t="s">
        <v>35</v>
      </c>
      <c r="G35" t="s">
        <v>111</v>
      </c>
      <c r="H35" t="s">
        <v>112</v>
      </c>
      <c r="I35">
        <v>15</v>
      </c>
      <c r="J35" t="s">
        <v>115</v>
      </c>
      <c r="K35" t="s">
        <v>109</v>
      </c>
      <c r="L35" t="s">
        <v>110</v>
      </c>
      <c r="M35" s="8">
        <v>46063.674502314818</v>
      </c>
    </row>
    <row r="36" spans="1:13" x14ac:dyDescent="0.25">
      <c r="A36" s="1">
        <v>46327</v>
      </c>
      <c r="B36" t="s">
        <v>32</v>
      </c>
      <c r="C36" t="s">
        <v>32</v>
      </c>
      <c r="D36" t="s">
        <v>32</v>
      </c>
      <c r="E36" t="s">
        <v>32</v>
      </c>
      <c r="F36" t="s">
        <v>35</v>
      </c>
      <c r="G36" t="s">
        <v>111</v>
      </c>
      <c r="H36" t="s">
        <v>112</v>
      </c>
      <c r="I36">
        <v>16</v>
      </c>
      <c r="J36" t="s">
        <v>115</v>
      </c>
      <c r="K36" t="s">
        <v>109</v>
      </c>
      <c r="L36" t="s">
        <v>110</v>
      </c>
      <c r="M36" s="8">
        <v>46063.674502314818</v>
      </c>
    </row>
    <row r="37" spans="1:13" x14ac:dyDescent="0.25">
      <c r="A37" s="1">
        <v>46357</v>
      </c>
      <c r="B37" t="s">
        <v>32</v>
      </c>
      <c r="C37" t="s">
        <v>32</v>
      </c>
      <c r="D37" t="s">
        <v>32</v>
      </c>
      <c r="E37" t="s">
        <v>32</v>
      </c>
      <c r="F37" t="s">
        <v>35</v>
      </c>
      <c r="G37" t="s">
        <v>111</v>
      </c>
      <c r="H37" t="s">
        <v>112</v>
      </c>
      <c r="I37">
        <v>34</v>
      </c>
      <c r="J37" t="s">
        <v>115</v>
      </c>
      <c r="K37" t="s">
        <v>109</v>
      </c>
      <c r="L37" t="s">
        <v>110</v>
      </c>
      <c r="M37" s="8">
        <v>46063.674502314818</v>
      </c>
    </row>
    <row r="38" spans="1:13" x14ac:dyDescent="0.25">
      <c r="A38" s="1">
        <v>46023</v>
      </c>
      <c r="B38" t="s">
        <v>32</v>
      </c>
      <c r="C38" t="s">
        <v>38</v>
      </c>
      <c r="D38" t="s">
        <v>38</v>
      </c>
      <c r="E38" t="s">
        <v>32</v>
      </c>
      <c r="F38" t="s">
        <v>34</v>
      </c>
      <c r="G38" t="s">
        <v>107</v>
      </c>
      <c r="H38" t="s">
        <v>116</v>
      </c>
      <c r="I38">
        <v>-420</v>
      </c>
      <c r="J38" t="s">
        <v>123</v>
      </c>
      <c r="K38" t="s">
        <v>109</v>
      </c>
      <c r="L38" t="s">
        <v>110</v>
      </c>
      <c r="M38" s="8">
        <v>46063.674502314818</v>
      </c>
    </row>
    <row r="39" spans="1:13" x14ac:dyDescent="0.25">
      <c r="A39" s="1">
        <v>46054</v>
      </c>
      <c r="B39" t="s">
        <v>32</v>
      </c>
      <c r="C39" t="s">
        <v>38</v>
      </c>
      <c r="D39" t="s">
        <v>38</v>
      </c>
      <c r="E39" t="s">
        <v>32</v>
      </c>
      <c r="F39" t="s">
        <v>34</v>
      </c>
      <c r="G39" t="s">
        <v>107</v>
      </c>
      <c r="H39" t="s">
        <v>116</v>
      </c>
      <c r="I39">
        <v>-223</v>
      </c>
      <c r="J39" t="s">
        <v>123</v>
      </c>
      <c r="K39" t="s">
        <v>109</v>
      </c>
      <c r="L39" t="s">
        <v>110</v>
      </c>
      <c r="M39" s="8">
        <v>46063.674502314818</v>
      </c>
    </row>
    <row r="40" spans="1:13" x14ac:dyDescent="0.25">
      <c r="A40" s="1">
        <v>46082</v>
      </c>
      <c r="B40" t="s">
        <v>32</v>
      </c>
      <c r="C40" t="s">
        <v>38</v>
      </c>
      <c r="D40" t="s">
        <v>38</v>
      </c>
      <c r="E40" t="s">
        <v>32</v>
      </c>
      <c r="F40" t="s">
        <v>34</v>
      </c>
      <c r="G40" t="s">
        <v>107</v>
      </c>
      <c r="H40" t="s">
        <v>116</v>
      </c>
      <c r="I40">
        <v>-223</v>
      </c>
      <c r="J40" t="s">
        <v>123</v>
      </c>
      <c r="K40" t="s">
        <v>109</v>
      </c>
      <c r="L40" t="s">
        <v>110</v>
      </c>
      <c r="M40" s="8">
        <v>46063.674502314818</v>
      </c>
    </row>
    <row r="41" spans="1:13" x14ac:dyDescent="0.25">
      <c r="A41" s="1">
        <v>46113</v>
      </c>
      <c r="B41" t="s">
        <v>32</v>
      </c>
      <c r="C41" t="s">
        <v>38</v>
      </c>
      <c r="D41" t="s">
        <v>38</v>
      </c>
      <c r="E41" t="s">
        <v>32</v>
      </c>
      <c r="F41" t="s">
        <v>34</v>
      </c>
      <c r="G41" t="s">
        <v>107</v>
      </c>
      <c r="H41" t="s">
        <v>116</v>
      </c>
      <c r="I41">
        <v>-223</v>
      </c>
      <c r="J41" t="s">
        <v>123</v>
      </c>
      <c r="K41" t="s">
        <v>109</v>
      </c>
      <c r="L41" t="s">
        <v>110</v>
      </c>
      <c r="M41" s="8">
        <v>46063.674502314818</v>
      </c>
    </row>
    <row r="42" spans="1:13" x14ac:dyDescent="0.25">
      <c r="A42" s="1">
        <v>46143</v>
      </c>
      <c r="B42" t="s">
        <v>32</v>
      </c>
      <c r="C42" t="s">
        <v>38</v>
      </c>
      <c r="D42" t="s">
        <v>38</v>
      </c>
      <c r="E42" t="s">
        <v>32</v>
      </c>
      <c r="F42" t="s">
        <v>34</v>
      </c>
      <c r="G42" t="s">
        <v>107</v>
      </c>
      <c r="H42" t="s">
        <v>116</v>
      </c>
      <c r="I42">
        <v>-223</v>
      </c>
      <c r="J42" t="s">
        <v>123</v>
      </c>
      <c r="K42" t="s">
        <v>109</v>
      </c>
      <c r="L42" t="s">
        <v>110</v>
      </c>
      <c r="M42" s="8">
        <v>46063.674502314818</v>
      </c>
    </row>
    <row r="43" spans="1:13" x14ac:dyDescent="0.25">
      <c r="A43" s="1">
        <v>46174</v>
      </c>
      <c r="B43" t="s">
        <v>32</v>
      </c>
      <c r="C43" t="s">
        <v>38</v>
      </c>
      <c r="D43" t="s">
        <v>38</v>
      </c>
      <c r="E43" t="s">
        <v>32</v>
      </c>
      <c r="F43" t="s">
        <v>34</v>
      </c>
      <c r="G43" t="s">
        <v>107</v>
      </c>
      <c r="H43" t="s">
        <v>116</v>
      </c>
      <c r="I43">
        <v>-223</v>
      </c>
      <c r="J43" t="s">
        <v>123</v>
      </c>
      <c r="K43" t="s">
        <v>109</v>
      </c>
      <c r="L43" t="s">
        <v>110</v>
      </c>
      <c r="M43" s="8">
        <v>46063.674502314818</v>
      </c>
    </row>
    <row r="44" spans="1:13" x14ac:dyDescent="0.25">
      <c r="A44" s="1">
        <v>46204</v>
      </c>
      <c r="B44" t="s">
        <v>32</v>
      </c>
      <c r="C44" t="s">
        <v>38</v>
      </c>
      <c r="D44" t="s">
        <v>38</v>
      </c>
      <c r="E44" t="s">
        <v>32</v>
      </c>
      <c r="F44" t="s">
        <v>34</v>
      </c>
      <c r="G44" t="s">
        <v>107</v>
      </c>
      <c r="H44" t="s">
        <v>116</v>
      </c>
      <c r="I44">
        <v>-223</v>
      </c>
      <c r="J44" t="s">
        <v>123</v>
      </c>
      <c r="K44" t="s">
        <v>109</v>
      </c>
      <c r="L44" t="s">
        <v>110</v>
      </c>
      <c r="M44" s="8">
        <v>46063.674502314818</v>
      </c>
    </row>
    <row r="45" spans="1:13" x14ac:dyDescent="0.25">
      <c r="A45" s="1">
        <v>46235</v>
      </c>
      <c r="B45" t="s">
        <v>32</v>
      </c>
      <c r="C45" t="s">
        <v>38</v>
      </c>
      <c r="D45" t="s">
        <v>38</v>
      </c>
      <c r="E45" t="s">
        <v>32</v>
      </c>
      <c r="F45" t="s">
        <v>34</v>
      </c>
      <c r="G45" t="s">
        <v>107</v>
      </c>
      <c r="H45" t="s">
        <v>116</v>
      </c>
      <c r="I45">
        <v>-223</v>
      </c>
      <c r="J45" t="s">
        <v>123</v>
      </c>
      <c r="K45" t="s">
        <v>109</v>
      </c>
      <c r="L45" t="s">
        <v>110</v>
      </c>
      <c r="M45" s="8">
        <v>46063.674502314818</v>
      </c>
    </row>
    <row r="46" spans="1:13" x14ac:dyDescent="0.25">
      <c r="A46" s="1">
        <v>46266</v>
      </c>
      <c r="B46" t="s">
        <v>32</v>
      </c>
      <c r="C46" t="s">
        <v>38</v>
      </c>
      <c r="D46" t="s">
        <v>38</v>
      </c>
      <c r="E46" t="s">
        <v>32</v>
      </c>
      <c r="F46" t="s">
        <v>34</v>
      </c>
      <c r="G46" t="s">
        <v>107</v>
      </c>
      <c r="H46" t="s">
        <v>116</v>
      </c>
      <c r="I46">
        <v>-223</v>
      </c>
      <c r="J46" t="s">
        <v>123</v>
      </c>
      <c r="K46" t="s">
        <v>109</v>
      </c>
      <c r="L46" t="s">
        <v>110</v>
      </c>
      <c r="M46" s="8">
        <v>46063.674502314818</v>
      </c>
    </row>
    <row r="47" spans="1:13" x14ac:dyDescent="0.25">
      <c r="A47" s="1">
        <v>46296</v>
      </c>
      <c r="B47" t="s">
        <v>32</v>
      </c>
      <c r="C47" t="s">
        <v>38</v>
      </c>
      <c r="D47" t="s">
        <v>38</v>
      </c>
      <c r="E47" t="s">
        <v>32</v>
      </c>
      <c r="F47" t="s">
        <v>34</v>
      </c>
      <c r="G47" t="s">
        <v>107</v>
      </c>
      <c r="H47" t="s">
        <v>116</v>
      </c>
      <c r="I47">
        <v>-223</v>
      </c>
      <c r="J47" t="s">
        <v>123</v>
      </c>
      <c r="K47" t="s">
        <v>109</v>
      </c>
      <c r="L47" t="s">
        <v>110</v>
      </c>
      <c r="M47" s="8">
        <v>46063.674502314818</v>
      </c>
    </row>
    <row r="48" spans="1:13" x14ac:dyDescent="0.25">
      <c r="A48" s="1">
        <v>46327</v>
      </c>
      <c r="B48" t="s">
        <v>32</v>
      </c>
      <c r="C48" t="s">
        <v>38</v>
      </c>
      <c r="D48" t="s">
        <v>38</v>
      </c>
      <c r="E48" t="s">
        <v>32</v>
      </c>
      <c r="F48" t="s">
        <v>34</v>
      </c>
      <c r="G48" t="s">
        <v>107</v>
      </c>
      <c r="H48" t="s">
        <v>116</v>
      </c>
      <c r="I48">
        <v>-223</v>
      </c>
      <c r="J48" t="s">
        <v>123</v>
      </c>
      <c r="K48" t="s">
        <v>109</v>
      </c>
      <c r="L48" t="s">
        <v>110</v>
      </c>
      <c r="M48" s="8">
        <v>46063.674502314818</v>
      </c>
    </row>
    <row r="49" spans="1:13" x14ac:dyDescent="0.25">
      <c r="A49" s="1">
        <v>46357</v>
      </c>
      <c r="B49" t="s">
        <v>32</v>
      </c>
      <c r="C49" t="s">
        <v>38</v>
      </c>
      <c r="D49" t="s">
        <v>38</v>
      </c>
      <c r="E49" t="s">
        <v>32</v>
      </c>
      <c r="F49" t="s">
        <v>34</v>
      </c>
      <c r="G49" t="s">
        <v>107</v>
      </c>
      <c r="H49" t="s">
        <v>116</v>
      </c>
      <c r="I49">
        <v>-223</v>
      </c>
      <c r="J49" t="s">
        <v>123</v>
      </c>
      <c r="K49" t="s">
        <v>109</v>
      </c>
      <c r="L49" t="s">
        <v>110</v>
      </c>
      <c r="M49" s="8">
        <v>46063.674502314818</v>
      </c>
    </row>
    <row r="50" spans="1:13" x14ac:dyDescent="0.25">
      <c r="A50" s="1">
        <v>46143</v>
      </c>
      <c r="B50" t="s">
        <v>32</v>
      </c>
      <c r="C50" t="s">
        <v>38</v>
      </c>
      <c r="D50" t="s">
        <v>38</v>
      </c>
      <c r="E50" t="s">
        <v>32</v>
      </c>
      <c r="F50" t="s">
        <v>34</v>
      </c>
      <c r="G50" t="s">
        <v>111</v>
      </c>
      <c r="H50" t="s">
        <v>117</v>
      </c>
      <c r="I50">
        <v>150</v>
      </c>
      <c r="J50" t="s">
        <v>118</v>
      </c>
      <c r="K50" t="s">
        <v>109</v>
      </c>
      <c r="L50" t="s">
        <v>110</v>
      </c>
      <c r="M50" s="8">
        <v>46063.674502314818</v>
      </c>
    </row>
    <row r="51" spans="1:13" x14ac:dyDescent="0.25">
      <c r="A51" s="1">
        <v>46174</v>
      </c>
      <c r="B51" t="s">
        <v>32</v>
      </c>
      <c r="C51" t="s">
        <v>38</v>
      </c>
      <c r="D51" t="s">
        <v>38</v>
      </c>
      <c r="E51" t="s">
        <v>32</v>
      </c>
      <c r="F51" t="s">
        <v>34</v>
      </c>
      <c r="G51" t="s">
        <v>111</v>
      </c>
      <c r="H51" t="s">
        <v>117</v>
      </c>
      <c r="I51">
        <v>65</v>
      </c>
      <c r="J51" t="s">
        <v>119</v>
      </c>
      <c r="K51" t="s">
        <v>109</v>
      </c>
      <c r="L51" t="s">
        <v>110</v>
      </c>
      <c r="M51" s="8">
        <v>46063.674502314818</v>
      </c>
    </row>
    <row r="52" spans="1:13" x14ac:dyDescent="0.25">
      <c r="A52" s="1">
        <v>46204</v>
      </c>
      <c r="B52" t="s">
        <v>32</v>
      </c>
      <c r="C52" t="s">
        <v>38</v>
      </c>
      <c r="D52" t="s">
        <v>38</v>
      </c>
      <c r="E52" t="s">
        <v>32</v>
      </c>
      <c r="F52" t="s">
        <v>34</v>
      </c>
      <c r="G52" t="s">
        <v>111</v>
      </c>
      <c r="H52" t="s">
        <v>117</v>
      </c>
      <c r="I52">
        <v>43</v>
      </c>
      <c r="J52" t="s">
        <v>120</v>
      </c>
      <c r="K52" t="s">
        <v>109</v>
      </c>
      <c r="L52" t="s">
        <v>110</v>
      </c>
      <c r="M52" s="8">
        <v>46063.674502314818</v>
      </c>
    </row>
    <row r="53" spans="1:13" x14ac:dyDescent="0.25">
      <c r="A53" s="1">
        <v>46235</v>
      </c>
      <c r="B53" t="s">
        <v>32</v>
      </c>
      <c r="C53" t="s">
        <v>38</v>
      </c>
      <c r="D53" t="s">
        <v>38</v>
      </c>
      <c r="E53" t="s">
        <v>32</v>
      </c>
      <c r="F53" t="s">
        <v>34</v>
      </c>
      <c r="G53" t="s">
        <v>111</v>
      </c>
      <c r="H53" t="s">
        <v>117</v>
      </c>
      <c r="I53">
        <v>43</v>
      </c>
      <c r="J53" t="s">
        <v>120</v>
      </c>
      <c r="K53" t="s">
        <v>109</v>
      </c>
      <c r="L53" t="s">
        <v>110</v>
      </c>
      <c r="M53" s="8">
        <v>46063.674502314818</v>
      </c>
    </row>
    <row r="54" spans="1:13" x14ac:dyDescent="0.25">
      <c r="A54" s="1">
        <v>46266</v>
      </c>
      <c r="B54" t="s">
        <v>32</v>
      </c>
      <c r="C54" t="s">
        <v>38</v>
      </c>
      <c r="D54" t="s">
        <v>38</v>
      </c>
      <c r="E54" t="s">
        <v>32</v>
      </c>
      <c r="F54" t="s">
        <v>34</v>
      </c>
      <c r="G54" t="s">
        <v>111</v>
      </c>
      <c r="H54" t="s">
        <v>117</v>
      </c>
      <c r="I54">
        <v>43</v>
      </c>
      <c r="J54" t="s">
        <v>120</v>
      </c>
      <c r="K54" t="s">
        <v>109</v>
      </c>
      <c r="L54" t="s">
        <v>110</v>
      </c>
      <c r="M54" s="8">
        <v>46063.674502314818</v>
      </c>
    </row>
    <row r="55" spans="1:13" x14ac:dyDescent="0.25">
      <c r="A55" s="1">
        <v>46296</v>
      </c>
      <c r="B55" t="s">
        <v>32</v>
      </c>
      <c r="C55" t="s">
        <v>38</v>
      </c>
      <c r="D55" t="s">
        <v>38</v>
      </c>
      <c r="E55" t="s">
        <v>32</v>
      </c>
      <c r="F55" t="s">
        <v>34</v>
      </c>
      <c r="G55" t="s">
        <v>111</v>
      </c>
      <c r="H55" t="s">
        <v>117</v>
      </c>
      <c r="I55">
        <v>43</v>
      </c>
      <c r="J55" t="s">
        <v>120</v>
      </c>
      <c r="K55" t="s">
        <v>109</v>
      </c>
      <c r="L55" t="s">
        <v>110</v>
      </c>
      <c r="M55" s="8">
        <v>46063.674502314818</v>
      </c>
    </row>
    <row r="56" spans="1:13" x14ac:dyDescent="0.25">
      <c r="A56" s="1">
        <v>46327</v>
      </c>
      <c r="B56" t="s">
        <v>32</v>
      </c>
      <c r="C56" t="s">
        <v>38</v>
      </c>
      <c r="D56" t="s">
        <v>38</v>
      </c>
      <c r="E56" t="s">
        <v>32</v>
      </c>
      <c r="F56" t="s">
        <v>34</v>
      </c>
      <c r="G56" t="s">
        <v>111</v>
      </c>
      <c r="H56" t="s">
        <v>117</v>
      </c>
      <c r="I56">
        <v>43</v>
      </c>
      <c r="J56" t="s">
        <v>120</v>
      </c>
      <c r="K56" t="s">
        <v>109</v>
      </c>
      <c r="L56" t="s">
        <v>110</v>
      </c>
      <c r="M56" s="8">
        <v>46063.674502314818</v>
      </c>
    </row>
    <row r="57" spans="1:13" x14ac:dyDescent="0.25">
      <c r="A57" s="1">
        <v>46357</v>
      </c>
      <c r="B57" t="s">
        <v>32</v>
      </c>
      <c r="C57" t="s">
        <v>38</v>
      </c>
      <c r="D57" t="s">
        <v>38</v>
      </c>
      <c r="E57" t="s">
        <v>32</v>
      </c>
      <c r="F57" t="s">
        <v>34</v>
      </c>
      <c r="G57" t="s">
        <v>111</v>
      </c>
      <c r="H57" t="s">
        <v>117</v>
      </c>
      <c r="I57">
        <v>35</v>
      </c>
      <c r="J57" t="s">
        <v>120</v>
      </c>
      <c r="K57" t="s">
        <v>109</v>
      </c>
      <c r="L57" t="s">
        <v>110</v>
      </c>
      <c r="M57" s="8">
        <v>46063.674502314818</v>
      </c>
    </row>
    <row r="58" spans="1:13" x14ac:dyDescent="0.25">
      <c r="A58" s="1">
        <v>46023</v>
      </c>
      <c r="B58" t="s">
        <v>32</v>
      </c>
      <c r="C58" t="s">
        <v>32</v>
      </c>
      <c r="D58" t="s">
        <v>32</v>
      </c>
      <c r="E58" t="s">
        <v>32</v>
      </c>
      <c r="F58" t="s">
        <v>45</v>
      </c>
      <c r="G58" t="s">
        <v>111</v>
      </c>
      <c r="H58" t="s">
        <v>121</v>
      </c>
      <c r="I58">
        <v>0</v>
      </c>
      <c r="J58" t="s">
        <v>113</v>
      </c>
      <c r="K58" t="s">
        <v>109</v>
      </c>
      <c r="L58" t="s">
        <v>110</v>
      </c>
      <c r="M58" s="8">
        <v>46084.033263888887</v>
      </c>
    </row>
    <row r="59" spans="1:13" x14ac:dyDescent="0.25">
      <c r="A59" s="1">
        <v>46054</v>
      </c>
      <c r="B59" t="s">
        <v>32</v>
      </c>
      <c r="C59" t="s">
        <v>32</v>
      </c>
      <c r="D59" t="s">
        <v>32</v>
      </c>
      <c r="E59" t="s">
        <v>32</v>
      </c>
      <c r="F59" t="s">
        <v>45</v>
      </c>
      <c r="G59" t="s">
        <v>111</v>
      </c>
      <c r="H59" t="s">
        <v>121</v>
      </c>
      <c r="I59">
        <v>0</v>
      </c>
      <c r="J59" t="s">
        <v>113</v>
      </c>
      <c r="K59" t="s">
        <v>109</v>
      </c>
      <c r="L59" t="s">
        <v>110</v>
      </c>
      <c r="M59" s="8">
        <v>46084.033263888887</v>
      </c>
    </row>
    <row r="60" spans="1:13" x14ac:dyDescent="0.25">
      <c r="A60" s="1">
        <v>46082</v>
      </c>
      <c r="B60" t="s">
        <v>32</v>
      </c>
      <c r="C60" t="s">
        <v>32</v>
      </c>
      <c r="D60" t="s">
        <v>32</v>
      </c>
      <c r="E60" t="s">
        <v>32</v>
      </c>
      <c r="F60" t="s">
        <v>45</v>
      </c>
      <c r="G60" t="s">
        <v>111</v>
      </c>
      <c r="H60" t="s">
        <v>121</v>
      </c>
      <c r="I60">
        <v>0</v>
      </c>
      <c r="J60" t="s">
        <v>113</v>
      </c>
      <c r="K60" t="s">
        <v>109</v>
      </c>
      <c r="L60" t="s">
        <v>110</v>
      </c>
      <c r="M60" s="8">
        <v>46084.033263888887</v>
      </c>
    </row>
    <row r="61" spans="1:13" x14ac:dyDescent="0.25">
      <c r="A61" s="1">
        <v>46113</v>
      </c>
      <c r="B61" t="s">
        <v>32</v>
      </c>
      <c r="C61" t="s">
        <v>32</v>
      </c>
      <c r="D61" t="s">
        <v>32</v>
      </c>
      <c r="E61" t="s">
        <v>32</v>
      </c>
      <c r="F61" t="s">
        <v>45</v>
      </c>
      <c r="G61" t="s">
        <v>111</v>
      </c>
      <c r="H61" t="s">
        <v>121</v>
      </c>
      <c r="I61">
        <v>30</v>
      </c>
      <c r="J61" t="s">
        <v>122</v>
      </c>
      <c r="K61" t="s">
        <v>109</v>
      </c>
      <c r="L61" t="s">
        <v>110</v>
      </c>
      <c r="M61" s="8">
        <v>46084.033263888887</v>
      </c>
    </row>
    <row r="62" spans="1:13" x14ac:dyDescent="0.25">
      <c r="A62" s="1">
        <v>46143</v>
      </c>
      <c r="B62" t="s">
        <v>32</v>
      </c>
      <c r="C62" t="s">
        <v>32</v>
      </c>
      <c r="D62" t="s">
        <v>32</v>
      </c>
      <c r="E62" t="s">
        <v>32</v>
      </c>
      <c r="F62" t="s">
        <v>45</v>
      </c>
      <c r="G62" t="s">
        <v>111</v>
      </c>
      <c r="H62" t="s">
        <v>121</v>
      </c>
      <c r="I62">
        <v>30</v>
      </c>
      <c r="J62" t="s">
        <v>122</v>
      </c>
      <c r="K62" t="s">
        <v>109</v>
      </c>
      <c r="L62" t="s">
        <v>110</v>
      </c>
      <c r="M62" s="8">
        <v>46084.033263888887</v>
      </c>
    </row>
    <row r="63" spans="1:13" x14ac:dyDescent="0.25">
      <c r="A63" s="1">
        <v>46174</v>
      </c>
      <c r="B63" t="s">
        <v>32</v>
      </c>
      <c r="C63" t="s">
        <v>32</v>
      </c>
      <c r="D63" t="s">
        <v>32</v>
      </c>
      <c r="E63" t="s">
        <v>32</v>
      </c>
      <c r="F63" t="s">
        <v>45</v>
      </c>
      <c r="G63" t="s">
        <v>111</v>
      </c>
      <c r="H63" t="s">
        <v>121</v>
      </c>
      <c r="I63">
        <v>20</v>
      </c>
      <c r="J63" t="s">
        <v>122</v>
      </c>
      <c r="K63" t="s">
        <v>109</v>
      </c>
      <c r="L63" t="s">
        <v>110</v>
      </c>
      <c r="M63" s="8">
        <v>46084.033263888887</v>
      </c>
    </row>
    <row r="64" spans="1:13" x14ac:dyDescent="0.25">
      <c r="A64" s="1">
        <v>46204</v>
      </c>
      <c r="B64" t="s">
        <v>32</v>
      </c>
      <c r="C64" t="s">
        <v>32</v>
      </c>
      <c r="D64" t="s">
        <v>32</v>
      </c>
      <c r="E64" t="s">
        <v>32</v>
      </c>
      <c r="F64" t="s">
        <v>45</v>
      </c>
      <c r="G64" t="s">
        <v>111</v>
      </c>
      <c r="H64" t="s">
        <v>121</v>
      </c>
      <c r="I64">
        <v>20</v>
      </c>
      <c r="J64" t="s">
        <v>122</v>
      </c>
      <c r="K64" t="s">
        <v>109</v>
      </c>
      <c r="L64" t="s">
        <v>110</v>
      </c>
      <c r="M64" s="8">
        <v>46084.033263888887</v>
      </c>
    </row>
    <row r="65" spans="1:13" x14ac:dyDescent="0.25">
      <c r="A65" s="1">
        <v>46235</v>
      </c>
      <c r="B65" t="s">
        <v>32</v>
      </c>
      <c r="C65" t="s">
        <v>32</v>
      </c>
      <c r="D65" t="s">
        <v>32</v>
      </c>
      <c r="E65" t="s">
        <v>32</v>
      </c>
      <c r="F65" t="s">
        <v>45</v>
      </c>
      <c r="G65" t="s">
        <v>111</v>
      </c>
      <c r="H65" t="s">
        <v>121</v>
      </c>
      <c r="I65">
        <v>20</v>
      </c>
      <c r="J65" t="s">
        <v>122</v>
      </c>
      <c r="K65" t="s">
        <v>109</v>
      </c>
      <c r="L65" t="s">
        <v>110</v>
      </c>
      <c r="M65" s="8">
        <v>46084.033263888887</v>
      </c>
    </row>
    <row r="66" spans="1:13" x14ac:dyDescent="0.25">
      <c r="A66" s="1">
        <v>46266</v>
      </c>
      <c r="B66" t="s">
        <v>32</v>
      </c>
      <c r="C66" t="s">
        <v>32</v>
      </c>
      <c r="D66" t="s">
        <v>32</v>
      </c>
      <c r="E66" t="s">
        <v>32</v>
      </c>
      <c r="F66" t="s">
        <v>45</v>
      </c>
      <c r="G66" t="s">
        <v>111</v>
      </c>
      <c r="H66" t="s">
        <v>121</v>
      </c>
      <c r="I66">
        <v>20</v>
      </c>
      <c r="J66" t="s">
        <v>122</v>
      </c>
      <c r="K66" t="s">
        <v>109</v>
      </c>
      <c r="L66" t="s">
        <v>110</v>
      </c>
      <c r="M66" s="8">
        <v>46084.033263888887</v>
      </c>
    </row>
    <row r="67" spans="1:13" x14ac:dyDescent="0.25">
      <c r="A67" s="1">
        <v>46296</v>
      </c>
      <c r="B67" t="s">
        <v>32</v>
      </c>
      <c r="C67" t="s">
        <v>32</v>
      </c>
      <c r="D67" t="s">
        <v>32</v>
      </c>
      <c r="E67" t="s">
        <v>32</v>
      </c>
      <c r="F67" t="s">
        <v>45</v>
      </c>
      <c r="G67" t="s">
        <v>111</v>
      </c>
      <c r="H67" t="s">
        <v>121</v>
      </c>
      <c r="I67">
        <v>20</v>
      </c>
      <c r="J67" t="s">
        <v>122</v>
      </c>
      <c r="K67" t="s">
        <v>109</v>
      </c>
      <c r="L67" t="s">
        <v>110</v>
      </c>
      <c r="M67" s="8">
        <v>46084.033263888887</v>
      </c>
    </row>
    <row r="68" spans="1:13" x14ac:dyDescent="0.25">
      <c r="A68" s="1">
        <v>46327</v>
      </c>
      <c r="B68" t="s">
        <v>32</v>
      </c>
      <c r="C68" t="s">
        <v>32</v>
      </c>
      <c r="D68" t="s">
        <v>32</v>
      </c>
      <c r="E68" t="s">
        <v>32</v>
      </c>
      <c r="F68" t="s">
        <v>45</v>
      </c>
      <c r="G68" t="s">
        <v>111</v>
      </c>
      <c r="H68" t="s">
        <v>121</v>
      </c>
      <c r="I68">
        <v>20</v>
      </c>
      <c r="J68" t="s">
        <v>122</v>
      </c>
      <c r="K68" t="s">
        <v>109</v>
      </c>
      <c r="L68" t="s">
        <v>110</v>
      </c>
      <c r="M68" s="8">
        <v>46084.033263888887</v>
      </c>
    </row>
    <row r="69" spans="1:13" x14ac:dyDescent="0.25">
      <c r="A69" s="1">
        <v>46357</v>
      </c>
      <c r="B69" t="s">
        <v>32</v>
      </c>
      <c r="C69" t="s">
        <v>32</v>
      </c>
      <c r="D69" t="s">
        <v>32</v>
      </c>
      <c r="E69" t="s">
        <v>32</v>
      </c>
      <c r="F69" t="s">
        <v>45</v>
      </c>
      <c r="G69" t="s">
        <v>111</v>
      </c>
      <c r="H69" t="s">
        <v>121</v>
      </c>
      <c r="I69">
        <v>20</v>
      </c>
      <c r="J69" t="s">
        <v>122</v>
      </c>
      <c r="K69" t="s">
        <v>109</v>
      </c>
      <c r="L69" t="s">
        <v>110</v>
      </c>
      <c r="M69" s="8">
        <v>46084.033263888887</v>
      </c>
    </row>
    <row r="70" spans="1:13" x14ac:dyDescent="0.25">
      <c r="A70" s="1"/>
      <c r="M70" s="8"/>
    </row>
    <row r="71" spans="1:13" x14ac:dyDescent="0.25">
      <c r="A71" s="1"/>
      <c r="M71" s="8"/>
    </row>
    <row r="72" spans="1:13" x14ac:dyDescent="0.25">
      <c r="A72" s="1"/>
      <c r="M72" s="8"/>
    </row>
    <row r="73" spans="1:13" x14ac:dyDescent="0.25">
      <c r="A73" s="1"/>
      <c r="M73" s="8"/>
    </row>
    <row r="74" spans="1:13" x14ac:dyDescent="0.25">
      <c r="A74" s="1"/>
      <c r="M74" s="8"/>
    </row>
    <row r="75" spans="1:13" x14ac:dyDescent="0.25">
      <c r="A75" s="1"/>
      <c r="M75" s="8"/>
    </row>
    <row r="76" spans="1:13" x14ac:dyDescent="0.25">
      <c r="A76" s="1"/>
      <c r="M76" s="8"/>
    </row>
    <row r="77" spans="1:13" x14ac:dyDescent="0.25">
      <c r="A77" s="1"/>
      <c r="M77" s="8"/>
    </row>
    <row r="78" spans="1:13" x14ac:dyDescent="0.25">
      <c r="A78" s="1"/>
      <c r="M78" s="8"/>
    </row>
    <row r="79" spans="1:13" x14ac:dyDescent="0.25">
      <c r="A79" s="1"/>
      <c r="M79" s="8"/>
    </row>
    <row r="80" spans="1:13" x14ac:dyDescent="0.25">
      <c r="A80" s="1"/>
      <c r="M80" s="8"/>
    </row>
    <row r="81" spans="1:13" x14ac:dyDescent="0.25">
      <c r="A81" s="1"/>
      <c r="M81" s="8"/>
    </row>
    <row r="82" spans="1:13" x14ac:dyDescent="0.25">
      <c r="A82" s="1"/>
      <c r="M82" s="8"/>
    </row>
    <row r="83" spans="1:13" x14ac:dyDescent="0.25">
      <c r="A83" s="1"/>
      <c r="M83" s="8"/>
    </row>
    <row r="84" spans="1:13" x14ac:dyDescent="0.25">
      <c r="A84" s="1"/>
      <c r="M84" s="8"/>
    </row>
    <row r="85" spans="1:13" x14ac:dyDescent="0.25">
      <c r="A85" s="1"/>
      <c r="M85" s="8"/>
    </row>
    <row r="86" spans="1:13" x14ac:dyDescent="0.25">
      <c r="A86" s="1"/>
      <c r="M86" s="8"/>
    </row>
    <row r="87" spans="1:13" x14ac:dyDescent="0.25">
      <c r="A87" s="1"/>
      <c r="M87" s="8"/>
    </row>
    <row r="88" spans="1:13" x14ac:dyDescent="0.25">
      <c r="A88" s="1"/>
      <c r="M88" s="8"/>
    </row>
    <row r="89" spans="1:13" x14ac:dyDescent="0.25">
      <c r="A89" s="1"/>
      <c r="M89" s="8"/>
    </row>
    <row r="90" spans="1:13" x14ac:dyDescent="0.25">
      <c r="A90" s="1"/>
      <c r="M90" s="8"/>
    </row>
    <row r="91" spans="1:13" x14ac:dyDescent="0.25">
      <c r="A91" s="1"/>
      <c r="M91" s="8"/>
    </row>
    <row r="92" spans="1:13" x14ac:dyDescent="0.25">
      <c r="A92" s="1"/>
      <c r="M92" s="8"/>
    </row>
    <row r="93" spans="1:13" x14ac:dyDescent="0.25">
      <c r="A93" s="1"/>
      <c r="M93" s="8"/>
    </row>
    <row r="94" spans="1:13" x14ac:dyDescent="0.25">
      <c r="A94" s="1"/>
      <c r="M94" s="8"/>
    </row>
    <row r="95" spans="1:13" x14ac:dyDescent="0.25">
      <c r="A95" s="1"/>
      <c r="M95" s="8"/>
    </row>
    <row r="96" spans="1:13" x14ac:dyDescent="0.25">
      <c r="A96" s="1"/>
      <c r="M96" s="8"/>
    </row>
    <row r="97" spans="1:13" x14ac:dyDescent="0.25">
      <c r="A97" s="1"/>
      <c r="M97" s="8"/>
    </row>
    <row r="98" spans="1:13" x14ac:dyDescent="0.25">
      <c r="A98" s="1"/>
      <c r="M98" s="8"/>
    </row>
    <row r="99" spans="1:13" x14ac:dyDescent="0.25">
      <c r="A99" s="1"/>
      <c r="M99" s="8"/>
    </row>
    <row r="100" spans="1:13" x14ac:dyDescent="0.25">
      <c r="A100" s="1"/>
      <c r="M100" s="8"/>
    </row>
    <row r="101" spans="1:13" x14ac:dyDescent="0.25">
      <c r="A101" s="1"/>
      <c r="M101" s="8"/>
    </row>
    <row r="102" spans="1:13" x14ac:dyDescent="0.25">
      <c r="A102" s="1"/>
      <c r="M102" s="8"/>
    </row>
    <row r="103" spans="1:13" x14ac:dyDescent="0.25">
      <c r="A103" s="1"/>
      <c r="M103" s="8"/>
    </row>
    <row r="104" spans="1:13" x14ac:dyDescent="0.25">
      <c r="A104" s="1"/>
      <c r="M104" s="8"/>
    </row>
    <row r="105" spans="1:13" x14ac:dyDescent="0.25">
      <c r="A105" s="1"/>
      <c r="M105" s="8"/>
    </row>
    <row r="106" spans="1:13" x14ac:dyDescent="0.25">
      <c r="A106" s="1"/>
      <c r="M106" s="8"/>
    </row>
    <row r="107" spans="1:13" x14ac:dyDescent="0.25">
      <c r="A107" s="1"/>
      <c r="M107" s="8"/>
    </row>
    <row r="108" spans="1:13" x14ac:dyDescent="0.25">
      <c r="A108" s="1"/>
      <c r="M108" s="8"/>
    </row>
    <row r="109" spans="1:13" x14ac:dyDescent="0.25">
      <c r="A109" s="1"/>
      <c r="M109" s="8"/>
    </row>
    <row r="110" spans="1:13" x14ac:dyDescent="0.25">
      <c r="A110" s="1"/>
      <c r="M110" s="8"/>
    </row>
    <row r="111" spans="1:13" x14ac:dyDescent="0.25">
      <c r="A111" s="1"/>
      <c r="M111" s="8"/>
    </row>
    <row r="112" spans="1:13" x14ac:dyDescent="0.25">
      <c r="A112" s="1"/>
      <c r="M112" s="8"/>
    </row>
    <row r="113" spans="1:13" x14ac:dyDescent="0.25">
      <c r="A113" s="1"/>
      <c r="M113" s="8"/>
    </row>
    <row r="114" spans="1:13" x14ac:dyDescent="0.25">
      <c r="A114" s="1"/>
      <c r="M114" s="8"/>
    </row>
    <row r="115" spans="1:13" x14ac:dyDescent="0.25">
      <c r="A115" s="1"/>
      <c r="M115" s="8"/>
    </row>
    <row r="116" spans="1:13" x14ac:dyDescent="0.25">
      <c r="A116" s="1"/>
      <c r="M116" s="8"/>
    </row>
    <row r="117" spans="1:13" x14ac:dyDescent="0.25">
      <c r="A117" s="1"/>
      <c r="M117" s="8"/>
    </row>
    <row r="118" spans="1:13" x14ac:dyDescent="0.25">
      <c r="A118" s="1"/>
      <c r="M118" s="8"/>
    </row>
    <row r="119" spans="1:13" x14ac:dyDescent="0.25">
      <c r="A119" s="1"/>
      <c r="M119" s="8"/>
    </row>
    <row r="120" spans="1:13" x14ac:dyDescent="0.25">
      <c r="A120" s="1"/>
      <c r="M120" s="8"/>
    </row>
    <row r="121" spans="1:13" x14ac:dyDescent="0.25">
      <c r="A121" s="1"/>
      <c r="M121" s="8"/>
    </row>
    <row r="122" spans="1:13" x14ac:dyDescent="0.25">
      <c r="A122" s="1"/>
      <c r="M122" s="8"/>
    </row>
    <row r="123" spans="1:13" x14ac:dyDescent="0.25">
      <c r="A123" s="1"/>
      <c r="M123" s="8"/>
    </row>
    <row r="124" spans="1:13" x14ac:dyDescent="0.25">
      <c r="A124" s="1"/>
      <c r="M124" s="8"/>
    </row>
    <row r="125" spans="1:13" x14ac:dyDescent="0.25">
      <c r="A125" s="1"/>
      <c r="M125" s="8"/>
    </row>
    <row r="126" spans="1:13" x14ac:dyDescent="0.25">
      <c r="A126" s="1"/>
      <c r="M126" s="8"/>
    </row>
    <row r="127" spans="1:13" x14ac:dyDescent="0.25">
      <c r="A127" s="1"/>
      <c r="M127" s="8"/>
    </row>
    <row r="128" spans="1:13" x14ac:dyDescent="0.25">
      <c r="A128" s="1"/>
      <c r="M128" s="8"/>
    </row>
    <row r="129" spans="1:13" x14ac:dyDescent="0.25">
      <c r="A129" s="1"/>
      <c r="M129" s="8"/>
    </row>
    <row r="130" spans="1:13" x14ac:dyDescent="0.25">
      <c r="A130" s="1"/>
      <c r="M130" s="8"/>
    </row>
    <row r="131" spans="1:13" x14ac:dyDescent="0.25">
      <c r="A131" s="1"/>
      <c r="M131" s="8"/>
    </row>
    <row r="132" spans="1:13" x14ac:dyDescent="0.25">
      <c r="A132" s="1"/>
      <c r="M132" s="8"/>
    </row>
    <row r="133" spans="1:13" x14ac:dyDescent="0.25">
      <c r="A133" s="1"/>
      <c r="M133" s="8"/>
    </row>
    <row r="134" spans="1:13" x14ac:dyDescent="0.25">
      <c r="A134" s="1"/>
      <c r="M134" s="8"/>
    </row>
    <row r="135" spans="1:13" x14ac:dyDescent="0.25">
      <c r="A135" s="1"/>
      <c r="M135" s="8"/>
    </row>
    <row r="136" spans="1:13" x14ac:dyDescent="0.25">
      <c r="A136" s="1"/>
      <c r="M136" s="8"/>
    </row>
    <row r="137" spans="1:13" x14ac:dyDescent="0.25">
      <c r="A137" s="1"/>
      <c r="M137" s="8"/>
    </row>
    <row r="138" spans="1:13" x14ac:dyDescent="0.25">
      <c r="A138" s="1"/>
      <c r="M138" s="8"/>
    </row>
    <row r="139" spans="1:13" x14ac:dyDescent="0.25">
      <c r="A139" s="1"/>
      <c r="M139" s="8"/>
    </row>
    <row r="140" spans="1:13" x14ac:dyDescent="0.25">
      <c r="A140" s="1"/>
      <c r="M140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Operations Mockup</vt:lpstr>
      <vt:lpstr>FTE Calculator</vt:lpstr>
      <vt:lpstr>Telus</vt:lpstr>
      <vt:lpstr>Workday</vt:lpstr>
      <vt:lpstr>Special 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Jhonnatan</dc:creator>
  <cp:lastModifiedBy>Jhonnatan Gonzalez</cp:lastModifiedBy>
  <cp:lastPrinted>2026-03-05T14:16:08Z</cp:lastPrinted>
  <dcterms:created xsi:type="dcterms:W3CDTF">2026-03-05T14:10:06Z</dcterms:created>
  <dcterms:modified xsi:type="dcterms:W3CDTF">2026-03-09T14:44:08Z</dcterms:modified>
</cp:coreProperties>
</file>